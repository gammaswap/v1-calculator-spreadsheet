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osition Calculator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<sst xmlns="http://schemas.openxmlformats.org/spreadsheetml/2006/main" count="78" uniqueCount="74">
  <si>
    <t xml:space="preserve">LogReturn</t>
  </si>
  <si>
    <t xml:space="preserve">Price Normalized</t>
  </si>
  <si>
    <t xml:space="preserve">Px Change %</t>
  </si>
  <si>
    <t xml:space="preserve">Price (USD)</t>
  </si>
  <si>
    <t xml:space="preserve">Pos Size (USD)</t>
  </si>
  <si>
    <t xml:space="preserve">P/L %</t>
  </si>
  <si>
    <t xml:space="preserve">P/L (USD)</t>
  </si>
  <si>
    <t xml:space="preserve">Delta</t>
  </si>
  <si>
    <t xml:space="preserve">Leverage</t>
  </si>
  <si>
    <t xml:space="preserve">Trade Inputs</t>
  </si>
  <si>
    <t xml:space="preserve">CFMM Inputs (Sushiswap)</t>
  </si>
  <si>
    <t xml:space="preserve">CalcDeltasForRatio</t>
  </si>
  <si>
    <t xml:space="preserve">Deposit (USDC Buffer)</t>
  </si>
  <si>
    <t xml:space="preserve">Current ETH Price (USDC)</t>
  </si>
  <si>
    <t xml:space="preserve">L_cfmm</t>
  </si>
  <si>
    <t xml:space="preserve">LTV</t>
  </si>
  <si>
    <t xml:space="preserve">Liquidity Invariant</t>
  </si>
  <si>
    <t xml:space="preserve">px</t>
  </si>
  <si>
    <t xml:space="preserve">Strike Price (Coll. Ratio)</t>
  </si>
  <si>
    <t xml:space="preserve">fee</t>
  </si>
  <si>
    <t xml:space="preserve">A_cfmm</t>
  </si>
  <si>
    <t xml:space="preserve">ETH in CFMM</t>
  </si>
  <si>
    <t xml:space="preserve">B_cfmm</t>
  </si>
  <si>
    <t xml:space="preserve">USDC in CFMM</t>
  </si>
  <si>
    <t xml:space="preserve">Time to Liquidation (Days)</t>
  </si>
  <si>
    <t xml:space="preserve">Deposit Price</t>
  </si>
  <si>
    <t xml:space="preserve">Initial Deposit (USDC)</t>
  </si>
  <si>
    <t xml:space="preserve">GammaSwap Pool Inputs</t>
  </si>
  <si>
    <t xml:space="preserve">L</t>
  </si>
  <si>
    <t xml:space="preserve">Delta (USDC)</t>
  </si>
  <si>
    <t xml:space="preserve">Borrow Rate</t>
  </si>
  <si>
    <t xml:space="preserve">A</t>
  </si>
  <si>
    <t xml:space="preserve">Max LTV</t>
  </si>
  <si>
    <t xml:space="preserve">B</t>
  </si>
  <si>
    <t xml:space="preserve">Size (USDC)</t>
  </si>
  <si>
    <t xml:space="preserve">Origination Fee</t>
  </si>
  <si>
    <t xml:space="preserve">targetPrice</t>
  </si>
  <si>
    <t xml:space="preserve">B/A</t>
  </si>
  <si>
    <t xml:space="preserve">a</t>
  </si>
  <si>
    <t xml:space="preserve">Post Trade</t>
  </si>
  <si>
    <t xml:space="preserve">b</t>
  </si>
  <si>
    <t xml:space="preserve">ETH Price in USDC</t>
  </si>
  <si>
    <t xml:space="preserve">c</t>
  </si>
  <si>
    <t xml:space="preserve">Price Impact</t>
  </si>
  <si>
    <t xml:space="preserve">determinant</t>
  </si>
  <si>
    <t xml:space="preserve">numerator0</t>
  </si>
  <si>
    <t xml:space="preserve">Position Details</t>
  </si>
  <si>
    <t xml:space="preserve">numerator1</t>
  </si>
  <si>
    <t xml:space="preserve">Collateral ETH</t>
  </si>
  <si>
    <t xml:space="preserve">deltaA0</t>
  </si>
  <si>
    <t xml:space="preserve">Collateral USDC</t>
  </si>
  <si>
    <t xml:space="preserve">deltaA1</t>
  </si>
  <si>
    <t xml:space="preserve">Collateral Ratio</t>
  </si>
  <si>
    <t xml:space="preserve">deltaB</t>
  </si>
  <si>
    <t xml:space="preserve">Collateral Ratio Normalized</t>
  </si>
  <si>
    <t xml:space="preserve">A remain</t>
  </si>
  <si>
    <t xml:space="preserve">Collateral in USDC</t>
  </si>
  <si>
    <t xml:space="preserve">B remain</t>
  </si>
  <si>
    <t xml:space="preserve">Debt in USDC</t>
  </si>
  <si>
    <t xml:space="preserve">achievedPrice</t>
  </si>
  <si>
    <t xml:space="preserve">Collateral Invariant (L_hat)</t>
  </si>
  <si>
    <t xml:space="preserve">L_hat</t>
  </si>
  <si>
    <t xml:space="preserve">Debt Invariant (L_o)</t>
  </si>
  <si>
    <t xml:space="preserve">A_cfmm_post</t>
  </si>
  <si>
    <t xml:space="preserve">B_cfmm_post</t>
  </si>
  <si>
    <t xml:space="preserve">px_cfmm_post</t>
  </si>
  <si>
    <t xml:space="preserve">A_need</t>
  </si>
  <si>
    <t xml:space="preserve">B_need</t>
  </si>
  <si>
    <t xml:space="preserve">B need in A</t>
  </si>
  <si>
    <t xml:space="preserve">A need in B</t>
  </si>
  <si>
    <t xml:space="preserve">Total A Deposit</t>
  </si>
  <si>
    <t xml:space="preserve">Total B Deposit</t>
  </si>
  <si>
    <t xml:space="preserve">Buffer</t>
  </si>
  <si>
    <t xml:space="preserve">L_shortfall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</si>
</sst>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#,##0.00"/>
    <numFmt numFmtId="166" formatCode="0.00%"/>
    <numFmt numFmtId="167" formatCode="#,##0.00;[RED]\-#,##0.00"/>
    <numFmt numFmtId="168" formatCode="#,##0.0"/>
    <numFmt numFmtId="169" formatCode="#,##0.0000"/>
    <numFmt numFmtId="170" formatCode="#,##0.00000000"/>
    <numFmt numFmtId="171" formatCode="General"/>
    <numFmt numFmtId="172" formatCode="\$#,##0_);&quot;($&quot;#,##0\)"/>
  </numFmts>
  <fonts count="13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color rgb="FF333333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b val="true"/>
      <i val="true"/>
      <sz val="10"/>
      <name val="Arial"/>
      <family val="2"/>
      <charset val="1"/>
    </font>
    <font>
      <b val="true"/>
      <sz val="10"/>
      <color rgb="FF333333"/>
      <name val="Arial"/>
      <family val="2"/>
      <charset val="1"/>
    </font>
    <font>
      <i val="true"/>
      <sz val="10"/>
      <color rgb="FF333333"/>
      <name val="Arial"/>
      <family val="2"/>
      <charset val="1"/>
    </font>
    <font>
      <i val="true"/>
      <sz val="10"/>
      <name val="Arial"/>
      <family val="2"/>
      <charset val="1"/>
    </font>
    <font>
      <sz val="13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DDDDDD"/>
        <bgColor rgb="FFCCFFCC"/>
      </patternFill>
    </fill>
    <fill>
      <patternFill patternType="solid">
        <fgColor rgb="FFFFFFCC"/>
        <bgColor rgb="FFFFFFFF"/>
      </patternFill>
    </fill>
    <fill>
      <patternFill patternType="solid">
        <fgColor rgb="FFFFB66C"/>
        <bgColor rgb="FFFF99CC"/>
      </patternFill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bottom" textRotation="0" wrapText="false" indent="0" shrinkToFit="false"/>
    </xf>
    <xf numFmtId="164" fontId="5" fillId="3" borderId="1" applyFont="true" applyBorder="tru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3" borderId="1" applyFont="true" applyBorder="true" applyAlignment="true" applyProtection="false">
      <alignment horizontal="general" vertical="bottom" textRotation="0" wrapText="false" indent="0" shrinkToFit="false"/>
    </xf>
    <xf numFmtId="164" fontId="4" fillId="2" borderId="0" applyFont="true" applyBorder="false" applyAlignment="true" applyProtection="false">
      <alignment horizontal="general" vertical="bottom" textRotation="0" wrapText="false" indent="0" shrinkToFit="false"/>
    </xf>
  </cellStyleXfs>
  <cellXfs count="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2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8" fillId="4" borderId="1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8" fillId="4" borderId="1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3" borderId="1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3" borderId="1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3" borderId="1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6" fillId="0" borderId="0" xfId="2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9" fillId="3" borderId="1" xfId="2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2" borderId="2" xfId="24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6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6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9" fillId="3" borderId="1" xfId="2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2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1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Accent 3 2" xfId="20"/>
    <cellStyle name="Note 1" xfId="21"/>
    <cellStyle name="Footnote" xfId="22"/>
    <cellStyle name="Note" xfId="23"/>
    <cellStyle name="Accent 3" xfId="24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B66C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Delta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'Position Calculator'!$E$1:$E$1</c:f>
              <c:strCache>
                <c:ptCount val="1"/>
                <c:pt idx="0">
                  <c:v>Pos Size (USD)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'Position Calculator'!$D$2:$D$58</c:f>
              <c:strCache>
                <c:ptCount val="57"/>
                <c:pt idx="0">
                  <c:v>784.60</c:v>
                </c:pt>
                <c:pt idx="1">
                  <c:v>804.47</c:v>
                </c:pt>
                <c:pt idx="2">
                  <c:v>824.83</c:v>
                </c:pt>
                <c:pt idx="3">
                  <c:v>845.71</c:v>
                </c:pt>
                <c:pt idx="4">
                  <c:v>867.12</c:v>
                </c:pt>
                <c:pt idx="5">
                  <c:v>889.07</c:v>
                </c:pt>
                <c:pt idx="6">
                  <c:v>911.58</c:v>
                </c:pt>
                <c:pt idx="7">
                  <c:v>934.66</c:v>
                </c:pt>
                <c:pt idx="8">
                  <c:v>958.32</c:v>
                </c:pt>
                <c:pt idx="9">
                  <c:v>982.58</c:v>
                </c:pt>
                <c:pt idx="10">
                  <c:v>1,007.45</c:v>
                </c:pt>
                <c:pt idx="11">
                  <c:v>1,032.96</c:v>
                </c:pt>
                <c:pt idx="12">
                  <c:v>1,059.11</c:v>
                </c:pt>
                <c:pt idx="13">
                  <c:v>1,085.92</c:v>
                </c:pt>
                <c:pt idx="14">
                  <c:v>1,113.41</c:v>
                </c:pt>
                <c:pt idx="15">
                  <c:v>1,141.59</c:v>
                </c:pt>
                <c:pt idx="16">
                  <c:v>1,170.49</c:v>
                </c:pt>
                <c:pt idx="17">
                  <c:v>1,200.12</c:v>
                </c:pt>
                <c:pt idx="18">
                  <c:v>1,230.51</c:v>
                </c:pt>
                <c:pt idx="19">
                  <c:v>1,261.66</c:v>
                </c:pt>
                <c:pt idx="20">
                  <c:v>1,293.59</c:v>
                </c:pt>
                <c:pt idx="21">
                  <c:v>1,326.34</c:v>
                </c:pt>
                <c:pt idx="22">
                  <c:v>1,359.92</c:v>
                </c:pt>
                <c:pt idx="23">
                  <c:v>1,394.35</c:v>
                </c:pt>
                <c:pt idx="24">
                  <c:v>1,429.64</c:v>
                </c:pt>
                <c:pt idx="25">
                  <c:v>1,465.83</c:v>
                </c:pt>
                <c:pt idx="26">
                  <c:v>1,502.94</c:v>
                </c:pt>
                <c:pt idx="27">
                  <c:v>1,540.99</c:v>
                </c:pt>
                <c:pt idx="28">
                  <c:v>1,580.00</c:v>
                </c:pt>
                <c:pt idx="29">
                  <c:v>1,620.00</c:v>
                </c:pt>
                <c:pt idx="30">
                  <c:v>1,661.01</c:v>
                </c:pt>
                <c:pt idx="31">
                  <c:v>1,703.06</c:v>
                </c:pt>
                <c:pt idx="32">
                  <c:v>1,746.17</c:v>
                </c:pt>
                <c:pt idx="33">
                  <c:v>1,790.37</c:v>
                </c:pt>
                <c:pt idx="34">
                  <c:v>1,835.70</c:v>
                </c:pt>
                <c:pt idx="35">
                  <c:v>1,882.17</c:v>
                </c:pt>
                <c:pt idx="36">
                  <c:v>1,929.82</c:v>
                </c:pt>
                <c:pt idx="37">
                  <c:v>1,978.67</c:v>
                </c:pt>
                <c:pt idx="38">
                  <c:v>2,028.76</c:v>
                </c:pt>
                <c:pt idx="39">
                  <c:v>2,080.12</c:v>
                </c:pt>
                <c:pt idx="40">
                  <c:v>2,132.78</c:v>
                </c:pt>
                <c:pt idx="41">
                  <c:v>2,186.77</c:v>
                </c:pt>
                <c:pt idx="42">
                  <c:v>2,242.13</c:v>
                </c:pt>
                <c:pt idx="43">
                  <c:v>2,298.89</c:v>
                </c:pt>
                <c:pt idx="44">
                  <c:v>2,357.08</c:v>
                </c:pt>
                <c:pt idx="45">
                  <c:v>2,416.75</c:v>
                </c:pt>
                <c:pt idx="46">
                  <c:v>2,477.93</c:v>
                </c:pt>
                <c:pt idx="47">
                  <c:v>2,540.66</c:v>
                </c:pt>
                <c:pt idx="48">
                  <c:v>2,604.98</c:v>
                </c:pt>
                <c:pt idx="49">
                  <c:v>2,670.92</c:v>
                </c:pt>
                <c:pt idx="50">
                  <c:v>2,738.54</c:v>
                </c:pt>
                <c:pt idx="51">
                  <c:v>2,807.87</c:v>
                </c:pt>
                <c:pt idx="52">
                  <c:v>2,878.95</c:v>
                </c:pt>
                <c:pt idx="53">
                  <c:v>2,951.83</c:v>
                </c:pt>
                <c:pt idx="54">
                  <c:v>3,026.55</c:v>
                </c:pt>
                <c:pt idx="55">
                  <c:v>3,103.17</c:v>
                </c:pt>
                <c:pt idx="56">
                  <c:v>3,181.73</c:v>
                </c:pt>
              </c:strCache>
            </c:strRef>
          </c:cat>
          <c:val>
            <c:numRef>
              <c:f>'Position Calculator'!$E$2:$E$58</c:f>
              <c:numCache>
                <c:formatCode>General</c:formatCode>
                <c:ptCount val="57"/>
                <c:pt idx="0">
                  <c:v>-154.900225955607</c:v>
                </c:pt>
                <c:pt idx="1">
                  <c:v>-143.580665901253</c:v>
                </c:pt>
                <c:pt idx="2">
                  <c:v>-131.782843175188</c:v>
                </c:pt>
                <c:pt idx="3">
                  <c:v>-119.492239127496</c:v>
                </c:pt>
                <c:pt idx="4">
                  <c:v>-106.693937235553</c:v>
                </c:pt>
                <c:pt idx="5">
                  <c:v>-93.3726126503093</c:v>
                </c:pt>
                <c:pt idx="6">
                  <c:v>-79.5125214731406</c:v>
                </c:pt>
                <c:pt idx="7">
                  <c:v>-65.0974897563736</c:v>
                </c:pt>
                <c:pt idx="8">
                  <c:v>-50.1109022204444</c:v>
                </c:pt>
                <c:pt idx="9">
                  <c:v>-34.5356906804454</c:v>
                </c:pt>
                <c:pt idx="10">
                  <c:v>-18.354322174648</c:v>
                </c:pt>
                <c:pt idx="11">
                  <c:v>-1.54878678738076</c:v>
                </c:pt>
                <c:pt idx="12">
                  <c:v>15.8994148415221</c:v>
                </c:pt>
                <c:pt idx="13">
                  <c:v>34.0092843287143</c:v>
                </c:pt>
                <c:pt idx="14">
                  <c:v>52.8003386889708</c:v>
                </c:pt>
                <c:pt idx="15">
                  <c:v>72.2926238148739</c:v>
                </c:pt>
                <c:pt idx="16">
                  <c:v>92.5067283031763</c:v>
                </c:pt>
                <c:pt idx="17">
                  <c:v>113.463797636686</c:v>
                </c:pt>
                <c:pt idx="18">
                  <c:v>135.185548730748</c:v>
                </c:pt>
                <c:pt idx="19">
                  <c:v>157.694284853607</c:v>
                </c:pt>
                <c:pt idx="20">
                  <c:v>181.012910930212</c:v>
                </c:pt>
                <c:pt idx="21">
                  <c:v>205.164949239209</c:v>
                </c:pt>
                <c:pt idx="22">
                  <c:v>230.174555513191</c:v>
                </c:pt>
                <c:pt idx="23">
                  <c:v>256.066535452434</c:v>
                </c:pt>
                <c:pt idx="24">
                  <c:v>282.866361662715</c:v>
                </c:pt>
                <c:pt idx="25">
                  <c:v>310.600191027982</c:v>
                </c:pt>
                <c:pt idx="26">
                  <c:v>339.294882528988</c:v>
                </c:pt>
                <c:pt idx="27">
                  <c:v>368.978015519238</c:v>
                </c:pt>
                <c:pt idx="28">
                  <c:v>399.677908469915</c:v>
                </c:pt>
                <c:pt idx="29">
                  <c:v>431.423638195731</c:v>
                </c:pt>
                <c:pt idx="30">
                  <c:v>464.245059573967</c:v>
                </c:pt>
                <c:pt idx="31">
                  <c:v>498.172825769252</c:v>
                </c:pt>
                <c:pt idx="32">
                  <c:v>533.23840897699</c:v>
                </c:pt>
                <c:pt idx="33">
                  <c:v>569.474121698616</c:v>
                </c:pt>
                <c:pt idx="34">
                  <c:v>606.913138562272</c:v>
                </c:pt>
                <c:pt idx="35">
                  <c:v>645.58951870275</c:v>
                </c:pt>
                <c:pt idx="36">
                  <c:v>685.538228714976</c:v>
                </c:pt>
                <c:pt idx="37">
                  <c:v>726.795166195642</c:v>
                </c:pt>
                <c:pt idx="38">
                  <c:v>769.397183887947</c:v>
                </c:pt>
                <c:pt idx="39">
                  <c:v>813.382114444814</c:v>
                </c:pt>
                <c:pt idx="40">
                  <c:v>858.788795826339</c:v>
                </c:pt>
                <c:pt idx="41">
                  <c:v>905.657097347603</c:v>
                </c:pt>
                <c:pt idx="42">
                  <c:v>954.027946393425</c:v>
                </c:pt>
                <c:pt idx="43">
                  <c:v>1003.94335581701</c:v>
                </c:pt>
                <c:pt idx="44">
                  <c:v>1055.44645203992</c:v>
                </c:pt>
                <c:pt idx="45">
                  <c:v>1108.58150387123</c:v>
                </c:pt>
                <c:pt idx="46">
                  <c:v>1163.3939520641</c:v>
                </c:pt>
                <c:pt idx="47">
                  <c:v>1219.93043962868</c:v>
                </c:pt>
                <c:pt idx="48">
                  <c:v>1278.23884292041</c:v>
                </c:pt>
                <c:pt idx="49">
                  <c:v>1338.36830352359</c:v>
                </c:pt>
                <c:pt idx="50">
                  <c:v>1400.36926095038</c:v>
                </c:pt>
                <c:pt idx="51">
                  <c:v>1464.29348617604</c:v>
                </c:pt>
                <c:pt idx="52">
                  <c:v>1530.19411603161</c:v>
                </c:pt>
                <c:pt idx="53">
                  <c:v>1598.12568847586</c:v>
                </c:pt>
                <c:pt idx="54">
                  <c:v>1668.14417876897</c:v>
                </c:pt>
                <c:pt idx="55">
                  <c:v>1740.30703657076</c:v>
                </c:pt>
                <c:pt idx="56">
                  <c:v>1814.67322398699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19331585"/>
        <c:axId val="85565710"/>
      </c:lineChart>
      <c:catAx>
        <c:axId val="19331585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5565710"/>
        <c:crosses val="autoZero"/>
        <c:auto val="1"/>
        <c:lblAlgn val="ctr"/>
        <c:lblOffset val="100"/>
        <c:noMultiLvlLbl val="0"/>
      </c:catAx>
      <c:valAx>
        <c:axId val="85565710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#,##0.00;[RED]\-#,##0.00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9331585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P/L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label 0</c:f>
              <c:strCache>
                <c:ptCount val="1"/>
                <c:pt idx="0">
                  <c:v>P/L (USD)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categories</c:f>
              <c:strCache>
                <c:ptCount val="57"/>
                <c:pt idx="0">
                  <c:v>784.604779990426</c:v>
                </c:pt>
                <c:pt idx="1">
                  <c:v>804.467144559927</c:v>
                </c:pt>
                <c:pt idx="2">
                  <c:v>824.832327282405</c:v>
                </c:pt>
                <c:pt idx="3">
                  <c:v>845.713057060004</c:v>
                </c:pt>
                <c:pt idx="4">
                  <c:v>867.122385028561</c:v>
                </c:pt>
                <c:pt idx="5">
                  <c:v>889.073692714991</c:v>
                </c:pt>
                <c:pt idx="6">
                  <c:v>911.580700401169</c:v>
                </c:pt>
                <c:pt idx="7">
                  <c:v>934.657475699568</c:v>
                </c:pt>
                <c:pt idx="8">
                  <c:v>958.31844234596</c:v>
                </c:pt>
                <c:pt idx="9">
                  <c:v>982.578389214732</c:v>
                </c:pt>
                <c:pt idx="10">
                  <c:v>1007.4524795624</c:v>
                </c:pt>
                <c:pt idx="11">
                  <c:v>1032.95626050516</c:v>
                </c:pt>
                <c:pt idx="12">
                  <c:v>1059.10567273631</c:v>
                </c:pt>
                <c:pt idx="13">
                  <c:v>1085.91706048974</c:v>
                </c:pt>
                <c:pt idx="14">
                  <c:v>1113.40718175557</c:v>
                </c:pt>
                <c:pt idx="15">
                  <c:v>1141.59321875447</c:v>
                </c:pt>
                <c:pt idx="16">
                  <c:v>1170.49278867711</c:v>
                </c:pt>
                <c:pt idx="17">
                  <c:v>1200.12395469545</c:v>
                </c:pt>
                <c:pt idx="18">
                  <c:v>1230.50523725282</c:v>
                </c:pt>
                <c:pt idx="19">
                  <c:v>1261.65562563982</c:v>
                </c:pt>
                <c:pt idx="20">
                  <c:v>1293.59458986321</c:v>
                </c:pt>
                <c:pt idx="21">
                  <c:v>1326.34209281535</c:v>
                </c:pt>
                <c:pt idx="22">
                  <c:v>1359.91860275159</c:v>
                </c:pt>
                <c:pt idx="23">
                  <c:v>1394.34510608366</c:v>
                </c:pt>
                <c:pt idx="24">
                  <c:v>1429.64312049682</c:v>
                </c:pt>
                <c:pt idx="25">
                  <c:v>1465.83470839911</c:v>
                </c:pt>
                <c:pt idx="26">
                  <c:v>1502.94249071113</c:v>
                </c:pt>
                <c:pt idx="27">
                  <c:v>1540.98966100477</c:v>
                </c:pt>
                <c:pt idx="28">
                  <c:v>1580</c:v>
                </c:pt>
                <c:pt idx="29">
                  <c:v>1619.9978904286</c:v>
                </c:pt>
                <c:pt idx="30">
                  <c:v>1661.00833227412</c:v>
                </c:pt>
                <c:pt idx="31">
                  <c:v>1703.05695839772</c:v>
                </c:pt>
                <c:pt idx="32">
                  <c:v>1746.17005055952</c:v>
                </c:pt>
                <c:pt idx="33">
                  <c:v>1790.37455584559</c:v>
                </c:pt>
                <c:pt idx="34">
                  <c:v>1835.69810351069</c:v>
                </c:pt>
                <c:pt idx="35">
                  <c:v>1882.16902224753</c:v>
                </c:pt>
                <c:pt idx="36">
                  <c:v>1929.81635789307</c:v>
                </c:pt>
                <c:pt idx="37">
                  <c:v>1978.66989158315</c:v>
                </c:pt>
                <c:pt idx="38">
                  <c:v>2028.76015836663</c:v>
                </c:pt>
                <c:pt idx="39">
                  <c:v>2080.11846629084</c:v>
                </c:pt>
                <c:pt idx="40">
                  <c:v>2132.77691597009</c:v>
                </c:pt>
                <c:pt idx="41">
                  <c:v>2186.76842064959</c:v>
                </c:pt>
                <c:pt idx="42">
                  <c:v>2242.12672677735</c:v>
                </c:pt>
                <c:pt idx="43">
                  <c:v>2298.88643509676</c:v>
                </c:pt>
                <c:pt idx="44">
                  <c:v>2357.08302227321</c:v>
                </c:pt>
                <c:pt idx="45">
                  <c:v>2416.75286306814</c:v>
                </c:pt>
                <c:pt idx="46">
                  <c:v>2477.93325307447</c:v>
                </c:pt>
                <c:pt idx="47">
                  <c:v>2540.66243202754</c:v>
                </c:pt>
                <c:pt idx="48">
                  <c:v>2604.9796077062</c:v>
                </c:pt>
                <c:pt idx="49">
                  <c:v>2670.92498043896</c:v>
                </c:pt>
                <c:pt idx="50">
                  <c:v>2738.53976823048</c:v>
                </c:pt>
                <c:pt idx="51">
                  <c:v>2807.86623252418</c:v>
                </c:pt>
                <c:pt idx="52">
                  <c:v>2878.947704617</c:v>
                </c:pt>
                <c:pt idx="53">
                  <c:v>2951.82861274291</c:v>
                </c:pt>
                <c:pt idx="54">
                  <c:v>3026.55450984196</c:v>
                </c:pt>
                <c:pt idx="55">
                  <c:v>3103.17210203236</c:v>
                </c:pt>
                <c:pt idx="56">
                  <c:v>3181.72927780335</c:v>
                </c:pt>
              </c:strCache>
            </c:strRef>
          </c:cat>
          <c:val>
            <c:numRef>
              <c:f>0</c:f>
              <c:numCache>
                <c:formatCode>General</c:formatCode>
                <c:ptCount val="57"/>
                <c:pt idx="0">
                  <c:v>-57.4537364942005</c:v>
                </c:pt>
                <c:pt idx="1">
                  <c:v>-62.0430537533971</c:v>
                </c:pt>
                <c:pt idx="2">
                  <c:v>-66.2919433155451</c:v>
                </c:pt>
                <c:pt idx="3">
                  <c:v>-70.1860438057496</c:v>
                </c:pt>
                <c:pt idx="4">
                  <c:v>-73.7105580460152</c:v>
                </c:pt>
                <c:pt idx="5">
                  <c:v>-76.8502411141312</c:v>
                </c:pt>
                <c:pt idx="6">
                  <c:v>-79.5893880888368</c:v>
                </c:pt>
                <c:pt idx="7">
                  <c:v>-81.9118214731769</c:v>
                </c:pt>
                <c:pt idx="8">
                  <c:v>-83.8008782877659</c:v>
                </c:pt>
                <c:pt idx="9">
                  <c:v>-85.2393968254355</c:v>
                </c:pt>
                <c:pt idx="10">
                  <c:v>-86.2097030585732</c:v>
                </c:pt>
                <c:pt idx="11">
                  <c:v>-86.6935966901873</c:v>
                </c:pt>
                <c:pt idx="12">
                  <c:v>-86.6723368395291</c:v>
                </c:pt>
                <c:pt idx="13">
                  <c:v>-86.1266273528763</c:v>
                </c:pt>
                <c:pt idx="14">
                  <c:v>-85.0366017298222</c:v>
                </c:pt>
                <c:pt idx="15">
                  <c:v>-83.3818076551764</c:v>
                </c:pt>
                <c:pt idx="16">
                  <c:v>-81.141191126347</c:v>
                </c:pt>
                <c:pt idx="17">
                  <c:v>-78.2930801657803</c:v>
                </c:pt>
                <c:pt idx="18">
                  <c:v>-74.8151681078032</c:v>
                </c:pt>
                <c:pt idx="19">
                  <c:v>-70.6844964489249</c:v>
                </c:pt>
                <c:pt idx="20">
                  <c:v>-65.8774372503728</c:v>
                </c:pt>
                <c:pt idx="21">
                  <c:v>-60.3696750813619</c:v>
                </c:pt>
                <c:pt idx="22">
                  <c:v>-54.1361884912877</c:v>
                </c:pt>
                <c:pt idx="23">
                  <c:v>-47.1512309987662</c:v>
                </c:pt>
                <c:pt idx="24">
                  <c:v>-39.3883115850684</c:v>
                </c:pt>
                <c:pt idx="25">
                  <c:v>-30.820174679281</c:v>
                </c:pt>
                <c:pt idx="26">
                  <c:v>-21.4187796220815</c:v>
                </c:pt>
                <c:pt idx="27">
                  <c:v>-11.1552795947984</c:v>
                </c:pt>
                <c:pt idx="28">
                  <c:v>0</c:v>
                </c:pt>
                <c:pt idx="29">
                  <c:v>12.0775837204542</c:v>
                </c:pt>
                <c:pt idx="30">
                  <c:v>25.108868844323</c:v>
                </c:pt>
                <c:pt idx="31">
                  <c:v>39.1261487196675</c:v>
                </c:pt>
                <c:pt idx="32">
                  <c:v>54.1626367224733</c:v>
                </c:pt>
                <c:pt idx="33">
                  <c:v>70.2524908367895</c:v>
                </c:pt>
                <c:pt idx="34">
                  <c:v>87.4308388733293</c:v>
                </c:pt>
                <c:pt idx="35">
                  <c:v>105.73380434291</c:v>
                </c:pt>
                <c:pt idx="36">
                  <c:v>125.198533001515</c:v>
                </c:pt>
                <c:pt idx="37">
                  <c:v>145.863220084183</c:v>
                </c:pt>
                <c:pt idx="38">
                  <c:v>167.767138245383</c:v>
                </c:pt>
                <c:pt idx="39">
                  <c:v>190.950666223963</c:v>
                </c:pt>
                <c:pt idx="40">
                  <c:v>215.455318251248</c:v>
                </c:pt>
                <c:pt idx="41">
                  <c:v>241.323774221295</c:v>
                </c:pt>
                <c:pt idx="42">
                  <c:v>268.599910642863</c:v>
                </c:pt>
                <c:pt idx="43">
                  <c:v>297.328832393057</c:v>
                </c:pt>
                <c:pt idx="44">
                  <c:v>327.556905293228</c:v>
                </c:pt>
                <c:pt idx="45">
                  <c:v>359.331789528125</c:v>
                </c:pt>
                <c:pt idx="46">
                  <c:v>392.702473929908</c:v>
                </c:pt>
                <c:pt idx="47">
                  <c:v>427.719311149158</c:v>
                </c:pt>
                <c:pt idx="48">
                  <c:v>464.434053735555</c:v>
                </c:pt>
                <c:pt idx="49">
                  <c:v>502.899891151511</c:v>
                </c:pt>
                <c:pt idx="50">
                  <c:v>543.171487742617</c:v>
                </c:pt>
                <c:pt idx="51">
                  <c:v>585.305021689388</c:v>
                </c:pt>
                <c:pt idx="52">
                  <c:v>629.358224965368</c:v>
                </c:pt>
                <c:pt idx="53">
                  <c:v>675.390424327373</c:v>
                </c:pt>
                <c:pt idx="54">
                  <c:v>723.462583364214</c:v>
                </c:pt>
                <c:pt idx="55">
                  <c:v>773.637345630987</c:v>
                </c:pt>
                <c:pt idx="56">
                  <c:v>825.979078896661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83516510"/>
        <c:axId val="25961704"/>
      </c:lineChart>
      <c:catAx>
        <c:axId val="8351651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5961704"/>
        <c:crosses val="autoZero"/>
        <c:auto val="1"/>
        <c:lblAlgn val="ctr"/>
        <c:lblOffset val="100"/>
        <c:noMultiLvlLbl val="0"/>
      </c:catAx>
      <c:valAx>
        <c:axId val="25961704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#,##0.00;[RED]\-#,##0.00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351651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57.xml"/><Relationship Id="rId2" Type="http://schemas.openxmlformats.org/officeDocument/2006/relationships/chart" Target="../charts/chart58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385920</xdr:colOff>
      <xdr:row>58</xdr:row>
      <xdr:rowOff>5400</xdr:rowOff>
    </xdr:from>
    <xdr:to>
      <xdr:col>13</xdr:col>
      <xdr:colOff>41400</xdr:colOff>
      <xdr:row>77</xdr:row>
      <xdr:rowOff>155880</xdr:rowOff>
    </xdr:to>
    <xdr:graphicFrame>
      <xdr:nvGraphicFramePr>
        <xdr:cNvPr id="0" name=""/>
        <xdr:cNvGraphicFramePr/>
      </xdr:nvGraphicFramePr>
      <xdr:xfrm>
        <a:off x="3790800" y="9433800"/>
        <a:ext cx="667476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710640</xdr:colOff>
      <xdr:row>32</xdr:row>
      <xdr:rowOff>19800</xdr:rowOff>
    </xdr:from>
    <xdr:to>
      <xdr:col>15</xdr:col>
      <xdr:colOff>1026000</xdr:colOff>
      <xdr:row>52</xdr:row>
      <xdr:rowOff>7920</xdr:rowOff>
    </xdr:to>
    <xdr:graphicFrame>
      <xdr:nvGraphicFramePr>
        <xdr:cNvPr id="1" name=""/>
        <xdr:cNvGraphicFramePr/>
      </xdr:nvGraphicFramePr>
      <xdr:xfrm>
        <a:off x="7703280" y="5221800"/>
        <a:ext cx="668772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T58"/>
  <sheetViews>
    <sheetView showFormulas="false" showGridLines="true" showRowColHeaders="true" showZeros="true" rightToLeft="false" tabSelected="true" showOutlineSymbols="true" defaultGridColor="true" view="normal" topLeftCell="D1" colorId="64" zoomScale="100" zoomScaleNormal="100" zoomScalePageLayoutView="100" workbookViewId="0">
      <pane xSplit="0" ySplit="1" topLeftCell="A2" activePane="bottomLeft" state="frozen"/>
      <selection pane="topLeft" activeCell="D1" activeCellId="0" sqref="D1"/>
      <selection pane="bottomLeft" activeCell="N17" activeCellId="0" sqref="N17"/>
    </sheetView>
  </sheetViews>
  <sheetFormatPr defaultColWidth="11.55078125" defaultRowHeight="12.8" zeroHeight="false" outlineLevelRow="0" outlineLevelCol="0"/>
  <cols>
    <col collapsed="false" customWidth="false" hidden="true" outlineLevel="0" max="2" min="1" style="0" width="11.54"/>
    <col collapsed="false" customWidth="false" hidden="false" outlineLevel="0" max="4" min="4" style="1" width="11.52"/>
    <col collapsed="false" customWidth="true" hidden="false" outlineLevel="0" max="5" min="5" style="1" width="14.63"/>
    <col collapsed="false" customWidth="true" hidden="false" outlineLevel="0" max="6" min="6" style="2" width="10.57"/>
    <col collapsed="false" customWidth="true" hidden="false" outlineLevel="0" max="7" min="7" style="1" width="11.25"/>
    <col collapsed="false" customWidth="true" hidden="false" outlineLevel="0" max="8" min="8" style="1" width="10.56"/>
    <col collapsed="false" customWidth="false" hidden="false" outlineLevel="0" max="9" min="9" style="1" width="11.53"/>
    <col collapsed="false" customWidth="true" hidden="false" outlineLevel="0" max="10" min="10" style="1" width="17.52"/>
    <col collapsed="false" customWidth="true" hidden="false" outlineLevel="0" max="11" min="11" style="0" width="25.56"/>
    <col collapsed="false" customWidth="true" hidden="false" outlineLevel="0" max="14" min="14" style="0" width="22.92"/>
    <col collapsed="false" customWidth="true" hidden="false" outlineLevel="0" max="16" min="15" style="0" width="18.76"/>
    <col collapsed="false" customWidth="true" hidden="true" outlineLevel="0" max="17" min="17" style="3" width="18.76"/>
    <col collapsed="false" customWidth="true" hidden="true" outlineLevel="0" max="18" min="18" style="3" width="17.22"/>
    <col collapsed="false" customWidth="true" hidden="true" outlineLevel="0" max="19" min="19" style="3" width="20.6"/>
    <col collapsed="false" customWidth="false" hidden="true" outlineLevel="0" max="20" min="20" style="3" width="11.54"/>
  </cols>
  <sheetData>
    <row r="1" customFormat="false" ht="12.8" hidden="false" customHeight="false" outlineLevel="0" collapsed="false">
      <c r="A1" s="0" t="s">
        <v>0</v>
      </c>
      <c r="B1" s="0" t="s">
        <v>1</v>
      </c>
      <c r="C1" s="4" t="s">
        <v>2</v>
      </c>
      <c r="D1" s="5" t="s">
        <v>3</v>
      </c>
      <c r="E1" s="5" t="s">
        <v>4</v>
      </c>
      <c r="F1" s="6" t="s">
        <v>5</v>
      </c>
      <c r="G1" s="5" t="s">
        <v>6</v>
      </c>
      <c r="H1" s="5" t="s">
        <v>7</v>
      </c>
      <c r="I1" s="5" t="s">
        <v>8</v>
      </c>
      <c r="J1" s="5"/>
      <c r="K1" s="7" t="s">
        <v>9</v>
      </c>
      <c r="L1" s="7"/>
      <c r="N1" s="8" t="s">
        <v>10</v>
      </c>
      <c r="O1" s="8"/>
      <c r="Q1" s="9" t="s">
        <v>11</v>
      </c>
      <c r="R1" s="9"/>
    </row>
    <row r="2" customFormat="false" ht="12.8" hidden="false" customHeight="false" outlineLevel="0" collapsed="false">
      <c r="A2" s="0" t="n">
        <f aca="false">A3-0.025</f>
        <v>-0.7</v>
      </c>
      <c r="B2" s="0" t="n">
        <f aca="false">EXP(A2)</f>
        <v>0.496585303791409</v>
      </c>
      <c r="C2" s="2" t="n">
        <f aca="false">B2-1</f>
        <v>-0.503414696208591</v>
      </c>
      <c r="D2" s="1" t="n">
        <f aca="false">B2*$O$2</f>
        <v>784.604779990426</v>
      </c>
      <c r="E2" s="10" t="n">
        <f aca="false">I2*$L$2</f>
        <v>-154.900225955607</v>
      </c>
      <c r="F2" s="2" t="n">
        <f aca="false">(($L$27*(D2-$O$2)/SQRT($L$4)) - 2*$L$28*(SQRT(D2)-SQRT($O$2)))/$L$2</f>
        <v>-0.531159886797221</v>
      </c>
      <c r="G2" s="10" t="n">
        <f aca="false">F2*$L$2</f>
        <v>-53.1159886797221</v>
      </c>
      <c r="H2" s="10" t="n">
        <f aca="false">($L$27/SQRT($L$4))-$L$28/SQRT(D2)</f>
        <v>-0.197424524940438</v>
      </c>
      <c r="I2" s="10" t="n">
        <f aca="false">H2*D2/$L$2</f>
        <v>-1.54900225955607</v>
      </c>
      <c r="J2" s="10"/>
      <c r="K2" s="11" t="s">
        <v>12</v>
      </c>
      <c r="L2" s="12" t="n">
        <v>100</v>
      </c>
      <c r="N2" s="11" t="s">
        <v>13</v>
      </c>
      <c r="O2" s="12" t="n">
        <v>1580</v>
      </c>
      <c r="Q2" s="9" t="s">
        <v>14</v>
      </c>
      <c r="R2" s="9" t="n">
        <f aca="false">O3</f>
        <v>100000</v>
      </c>
      <c r="S2" s="9" t="n">
        <f aca="false">R2</f>
        <v>100000</v>
      </c>
    </row>
    <row r="3" customFormat="false" ht="12.8" hidden="false" customHeight="false" outlineLevel="0" collapsed="false">
      <c r="A3" s="0" t="n">
        <f aca="false">A4-0.025</f>
        <v>-0.675</v>
      </c>
      <c r="B3" s="0" t="n">
        <f aca="false">EXP(A3)</f>
        <v>0.509156420607549</v>
      </c>
      <c r="C3" s="2" t="n">
        <f aca="false">B3-1</f>
        <v>-0.490843579392451</v>
      </c>
      <c r="D3" s="1" t="n">
        <f aca="false">B3*$O$2</f>
        <v>804.467144559927</v>
      </c>
      <c r="E3" s="10" t="n">
        <f aca="false">I3*$L$2</f>
        <v>-143.580665901253</v>
      </c>
      <c r="F3" s="2" t="n">
        <f aca="false">(($L$27*(D3-$O$2)/SQRT($L$4)) - 2*$L$28*(SQRT(D3)-SQRT($O$2)))/$L$2</f>
        <v>-0.568479813425848</v>
      </c>
      <c r="G3" s="10" t="n">
        <f aca="false">F3*$L$2</f>
        <v>-56.8479813425848</v>
      </c>
      <c r="H3" s="10" t="n">
        <f aca="false">($L$27/SQRT($L$4))-$L$28/SQRT(D3)</f>
        <v>-0.178479216798588</v>
      </c>
      <c r="I3" s="10" t="n">
        <f aca="false">H3*D3/$L$2</f>
        <v>-1.43580665901253</v>
      </c>
      <c r="J3" s="10"/>
      <c r="K3" s="11" t="s">
        <v>15</v>
      </c>
      <c r="L3" s="13" t="n">
        <v>0.9914</v>
      </c>
      <c r="N3" s="11" t="s">
        <v>16</v>
      </c>
      <c r="O3" s="12" t="n">
        <v>100000</v>
      </c>
      <c r="Q3" s="9" t="s">
        <v>17</v>
      </c>
      <c r="R3" s="14" t="n">
        <f aca="false">O2</f>
        <v>1580</v>
      </c>
      <c r="S3" s="14" t="n">
        <f aca="false">R3</f>
        <v>1580</v>
      </c>
    </row>
    <row r="4" customFormat="false" ht="12.8" hidden="false" customHeight="false" outlineLevel="0" collapsed="false">
      <c r="A4" s="0" t="n">
        <f aca="false">A5-0.025</f>
        <v>-0.65</v>
      </c>
      <c r="B4" s="0" t="n">
        <f aca="false">EXP(A4)</f>
        <v>0.522045776761016</v>
      </c>
      <c r="C4" s="2" t="n">
        <f aca="false">B4-1</f>
        <v>-0.477954223238984</v>
      </c>
      <c r="D4" s="1" t="n">
        <f aca="false">B4*$O$2</f>
        <v>824.832327282405</v>
      </c>
      <c r="E4" s="10" t="n">
        <f aca="false">I4*$L$2</f>
        <v>-131.782843175188</v>
      </c>
      <c r="F4" s="2" t="n">
        <f aca="false">(($L$27*(D4-$O$2)/SQRT($L$4)) - 2*$L$28*(SQRT(D4)-SQRT($O$2)))/$L$2</f>
        <v>-0.602910365602015</v>
      </c>
      <c r="G4" s="10" t="n">
        <f aca="false">F4*$L$2</f>
        <v>-60.2910365602015</v>
      </c>
      <c r="H4" s="10" t="n">
        <f aca="false">($L$27/SQRT($L$4))-$L$28/SQRT(D4)</f>
        <v>-0.159769251054182</v>
      </c>
      <c r="I4" s="10" t="n">
        <f aca="false">H4*D4/$L$2</f>
        <v>-1.31782843175188</v>
      </c>
      <c r="J4" s="10"/>
      <c r="K4" s="4" t="s">
        <v>18</v>
      </c>
      <c r="L4" s="12" t="n">
        <v>1053.33</v>
      </c>
      <c r="N4" s="11" t="s">
        <v>19</v>
      </c>
      <c r="O4" s="13" t="n">
        <v>0.003</v>
      </c>
      <c r="Q4" s="9" t="s">
        <v>20</v>
      </c>
      <c r="R4" s="9" t="n">
        <f aca="false">O5</f>
        <v>2515.77302713314</v>
      </c>
      <c r="S4" s="9" t="n">
        <f aca="false">S2/SQRT(S3)</f>
        <v>2515.77302713314</v>
      </c>
    </row>
    <row r="5" customFormat="false" ht="12.8" hidden="false" customHeight="false" outlineLevel="0" collapsed="false">
      <c r="A5" s="0" t="n">
        <f aca="false">A6-0.025</f>
        <v>-0.625</v>
      </c>
      <c r="B5" s="0" t="n">
        <f aca="false">EXP(A5)</f>
        <v>0.53526142851899</v>
      </c>
      <c r="C5" s="2" t="n">
        <f aca="false">B5-1</f>
        <v>-0.46473857148101</v>
      </c>
      <c r="D5" s="1" t="n">
        <f aca="false">B5*$O$2</f>
        <v>845.713057060004</v>
      </c>
      <c r="E5" s="10" t="n">
        <f aca="false">I5*$L$2</f>
        <v>-119.492239127496</v>
      </c>
      <c r="F5" s="2" t="n">
        <f aca="false">(($L$27*(D5-$O$2)/SQRT($L$4)) - 2*$L$28*(SQRT(D5)-SQRT($O$2)))/$L$2</f>
        <v>-0.634330171008423</v>
      </c>
      <c r="G5" s="10" t="n">
        <f aca="false">F5*$L$2</f>
        <v>-63.4330171008423</v>
      </c>
      <c r="H5" s="10" t="n">
        <f aca="false">($L$27/SQRT($L$4))-$L$28/SQRT(D5)</f>
        <v>-0.141291704237006</v>
      </c>
      <c r="I5" s="10" t="n">
        <f aca="false">H5*D5/$L$2</f>
        <v>-1.19492239127496</v>
      </c>
      <c r="J5" s="10"/>
      <c r="N5" s="4" t="s">
        <v>21</v>
      </c>
      <c r="O5" s="15" t="n">
        <f aca="false">O3/SQRT(O2)</f>
        <v>2515.77302713314</v>
      </c>
      <c r="Q5" s="9" t="s">
        <v>22</v>
      </c>
      <c r="R5" s="9" t="n">
        <f aca="false">O6</f>
        <v>3974921.38287036</v>
      </c>
      <c r="S5" s="9" t="n">
        <f aca="false">S2*SQRT(S3)</f>
        <v>3974921.38287036</v>
      </c>
    </row>
    <row r="6" customFormat="false" ht="12.8" hidden="false" customHeight="false" outlineLevel="0" collapsed="false">
      <c r="A6" s="0" t="n">
        <f aca="false">A7-0.025</f>
        <v>-0.6</v>
      </c>
      <c r="B6" s="0" t="n">
        <f aca="false">EXP(A6)</f>
        <v>0.548811636094026</v>
      </c>
      <c r="C6" s="2" t="n">
        <f aca="false">B6-1</f>
        <v>-0.451188363905974</v>
      </c>
      <c r="D6" s="1" t="n">
        <f aca="false">B6*$O$2</f>
        <v>867.122385028561</v>
      </c>
      <c r="E6" s="10" t="n">
        <f aca="false">I6*$L$2</f>
        <v>-106.693937235553</v>
      </c>
      <c r="F6" s="2" t="n">
        <f aca="false">(($L$27*(D6-$O$2)/SQRT($L$4)) - 2*$L$28*(SQRT(D6)-SQRT($O$2)))/$L$2</f>
        <v>-0.662614178146224</v>
      </c>
      <c r="G6" s="10" t="n">
        <f aca="false">F6*$L$2</f>
        <v>-66.2614178146224</v>
      </c>
      <c r="H6" s="10" t="n">
        <f aca="false">($L$27/SQRT($L$4))-$L$28/SQRT(D6)</f>
        <v>-0.123043689192776</v>
      </c>
      <c r="I6" s="10" t="n">
        <f aca="false">H6*D6/$L$2</f>
        <v>-1.06693937235553</v>
      </c>
      <c r="J6" s="10"/>
      <c r="N6" s="4" t="s">
        <v>23</v>
      </c>
      <c r="O6" s="15" t="n">
        <f aca="false">O3*SQRT(O2)</f>
        <v>3974921.38287036</v>
      </c>
      <c r="Q6" s="9" t="s">
        <v>19</v>
      </c>
      <c r="R6" s="16" t="n">
        <f aca="false">1-O4</f>
        <v>0.997</v>
      </c>
      <c r="S6" s="16" t="n">
        <f aca="false">R6</f>
        <v>0.997</v>
      </c>
    </row>
    <row r="7" customFormat="false" ht="12.8" hidden="false" customHeight="false" outlineLevel="0" collapsed="false">
      <c r="A7" s="0" t="n">
        <f aca="false">A8-0.025</f>
        <v>-0.575</v>
      </c>
      <c r="B7" s="0" t="n">
        <f aca="false">EXP(A7)</f>
        <v>0.562704868806956</v>
      </c>
      <c r="C7" s="2" t="n">
        <f aca="false">B7-1</f>
        <v>-0.437295131193044</v>
      </c>
      <c r="D7" s="1" t="n">
        <f aca="false">B7*$O$2</f>
        <v>889.073692714991</v>
      </c>
      <c r="E7" s="10" t="n">
        <f aca="false">I7*$L$2</f>
        <v>-93.3726126503093</v>
      </c>
      <c r="F7" s="2" t="n">
        <f aca="false">(($L$27*(D7-$O$2)/SQRT($L$4)) - 2*$L$28*(SQRT(D7)-SQRT($O$2)))/$L$2</f>
        <v>-0.687633555565692</v>
      </c>
      <c r="G7" s="10" t="n">
        <f aca="false">F7*$L$2</f>
        <v>-68.7633555565692</v>
      </c>
      <c r="H7" s="10" t="n">
        <f aca="false">($L$27/SQRT($L$4))-$L$28/SQRT(D7)</f>
        <v>-0.105022354632015</v>
      </c>
      <c r="I7" s="10" t="n">
        <f aca="false">H7*D7/$L$2</f>
        <v>-0.933726126503093</v>
      </c>
      <c r="J7" s="10"/>
      <c r="K7" s="4" t="s">
        <v>24</v>
      </c>
      <c r="L7" s="17" t="n">
        <f aca="false">365*LN(O11*L27/L28)/O10</f>
        <v>13.2299782382347</v>
      </c>
      <c r="Q7" s="9"/>
      <c r="R7" s="9"/>
      <c r="S7" s="9"/>
    </row>
    <row r="8" customFormat="false" ht="12.8" hidden="false" customHeight="false" outlineLevel="0" collapsed="false">
      <c r="A8" s="0" t="n">
        <f aca="false">A9-0.025</f>
        <v>-0.55</v>
      </c>
      <c r="B8" s="0" t="n">
        <f aca="false">EXP(A8)</f>
        <v>0.576949810380487</v>
      </c>
      <c r="C8" s="2" t="n">
        <f aca="false">B8-1</f>
        <v>-0.423050189619513</v>
      </c>
      <c r="D8" s="1" t="n">
        <f aca="false">B8*$O$2</f>
        <v>911.580700401169</v>
      </c>
      <c r="E8" s="10" t="n">
        <f aca="false">I8*$L$2</f>
        <v>-79.5125214731406</v>
      </c>
      <c r="F8" s="2" t="n">
        <f aca="false">(($L$27*(D8-$O$2)/SQRT($L$4)) - 2*$L$28*(SQRT(D8)-SQRT($O$2)))/$L$2</f>
        <v>-0.709255588449877</v>
      </c>
      <c r="G8" s="10" t="n">
        <f aca="false">F8*$L$2</f>
        <v>-70.9255588449877</v>
      </c>
      <c r="H8" s="10" t="n">
        <f aca="false">($L$27/SQRT($L$4))-$L$28/SQRT(D8)</f>
        <v>-0.087224884684536</v>
      </c>
      <c r="I8" s="10" t="n">
        <f aca="false">H8*D8/$L$2</f>
        <v>-0.795125214731406</v>
      </c>
      <c r="J8" s="10"/>
      <c r="K8" s="4" t="s">
        <v>25</v>
      </c>
      <c r="L8" s="18" t="n">
        <f aca="false">L9/L2</f>
        <v>1.04741177500476</v>
      </c>
    </row>
    <row r="9" customFormat="false" ht="12.8" hidden="false" customHeight="false" outlineLevel="0" collapsed="false">
      <c r="A9" s="0" t="n">
        <f aca="false">A10-0.025</f>
        <v>-0.525</v>
      </c>
      <c r="B9" s="0" t="n">
        <f aca="false">EXP(A9)</f>
        <v>0.591555364366815</v>
      </c>
      <c r="C9" s="2" t="n">
        <f aca="false">B9-1</f>
        <v>-0.408444635633185</v>
      </c>
      <c r="D9" s="1" t="n">
        <f aca="false">B9*$O$2</f>
        <v>934.657475699568</v>
      </c>
      <c r="E9" s="10" t="n">
        <f aca="false">I9*$L$2</f>
        <v>-65.0974897563736</v>
      </c>
      <c r="F9" s="2" t="n">
        <f aca="false">(($L$27*(D9-$O$2)/SQRT($L$4)) - 2*$L$28*(SQRT(D9)-SQRT($O$2)))/$L$2</f>
        <v>-0.727343572483123</v>
      </c>
      <c r="G9" s="10" t="n">
        <f aca="false">F9*$L$2</f>
        <v>-72.7343572483123</v>
      </c>
      <c r="H9" s="10" t="n">
        <f aca="false">($L$27/SQRT($L$4))-$L$28/SQRT(D9)</f>
        <v>-0.0696484984594488</v>
      </c>
      <c r="I9" s="10" t="n">
        <f aca="false">H9*D9/$L$2</f>
        <v>-0.650974897563736</v>
      </c>
      <c r="J9" s="10"/>
      <c r="K9" s="4" t="s">
        <v>26</v>
      </c>
      <c r="L9" s="19" t="n">
        <f aca="false">R34+R37</f>
        <v>104.741177500476</v>
      </c>
      <c r="N9" s="8" t="s">
        <v>27</v>
      </c>
      <c r="O9" s="8"/>
      <c r="Q9" s="3" t="s">
        <v>28</v>
      </c>
      <c r="R9" s="3" t="n">
        <f aca="false">R44</f>
        <v>42.6770675980992</v>
      </c>
      <c r="S9" s="3" t="n">
        <f aca="false">R47</f>
        <v>1.28843458461564</v>
      </c>
    </row>
    <row r="10" customFormat="false" ht="12.8" hidden="false" customHeight="false" outlineLevel="0" collapsed="false">
      <c r="A10" s="0" t="n">
        <f aca="false">A11-0.025</f>
        <v>-0.5</v>
      </c>
      <c r="B10" s="0" t="n">
        <f aca="false">EXP(A10)</f>
        <v>0.606530659712633</v>
      </c>
      <c r="C10" s="2" t="n">
        <f aca="false">B10-1</f>
        <v>-0.393469340287367</v>
      </c>
      <c r="D10" s="1" t="n">
        <f aca="false">B10*$O$2</f>
        <v>958.31844234596</v>
      </c>
      <c r="E10" s="10" t="n">
        <f aca="false">I10*$L$2</f>
        <v>-50.1109022204444</v>
      </c>
      <c r="F10" s="2" t="n">
        <f aca="false">(($L$27*(D10-$O$2)/SQRT($L$4)) - 2*$L$28*(SQRT(D10)-SQRT($O$2)))/$L$2</f>
        <v>-0.741756704934436</v>
      </c>
      <c r="G10" s="10" t="n">
        <f aca="false">F10*$L$2</f>
        <v>-74.1756704934436</v>
      </c>
      <c r="H10" s="10" t="n">
        <f aca="false">($L$27/SQRT($L$4))-$L$28/SQRT(D10)</f>
        <v>-0.0522904496106462</v>
      </c>
      <c r="I10" s="10" t="n">
        <f aca="false">H10*D10/$L$2</f>
        <v>-0.501109022204444</v>
      </c>
      <c r="J10" s="10"/>
      <c r="K10" s="4" t="s">
        <v>29</v>
      </c>
      <c r="L10" s="20" t="n">
        <f aca="false">H30</f>
        <v>0.252960701563237</v>
      </c>
      <c r="N10" s="11" t="s">
        <v>30</v>
      </c>
      <c r="O10" s="13" t="n">
        <v>0.1</v>
      </c>
      <c r="Q10" s="9" t="s">
        <v>31</v>
      </c>
      <c r="R10" s="9" t="n">
        <f aca="false">R9/SQRT(R3)</f>
        <v>1.07365815540436</v>
      </c>
      <c r="S10" s="9" t="n">
        <f aca="false">R10+T10</f>
        <v>1.07365815540436</v>
      </c>
      <c r="T10" s="3" t="n">
        <v>0</v>
      </c>
    </row>
    <row r="11" customFormat="false" ht="12.8" hidden="false" customHeight="false" outlineLevel="0" collapsed="false">
      <c r="A11" s="0" t="n">
        <f aca="false">A12-0.025</f>
        <v>-0.475</v>
      </c>
      <c r="B11" s="0" t="n">
        <f aca="false">EXP(A11)</f>
        <v>0.62188505646502</v>
      </c>
      <c r="C11" s="2" t="n">
        <f aca="false">B11-1</f>
        <v>-0.37811494353498</v>
      </c>
      <c r="D11" s="1" t="n">
        <f aca="false">B11*$O$2</f>
        <v>982.578389214732</v>
      </c>
      <c r="E11" s="10" t="n">
        <f aca="false">I11*$L$2</f>
        <v>-34.5356906804454</v>
      </c>
      <c r="F11" s="2" t="n">
        <f aca="false">(($L$27*(D11-$O$2)/SQRT($L$4)) - 2*$L$28*(SQRT(D11)-SQRT($O$2)))/$L$2</f>
        <v>-0.752349972883951</v>
      </c>
      <c r="G11" s="10" t="n">
        <f aca="false">F11*$L$2</f>
        <v>-75.2349972883951</v>
      </c>
      <c r="H11" s="10" t="n">
        <f aca="false">($L$27/SQRT($L$4))-$L$28/SQRT(D11)</f>
        <v>-0.0351480259076795</v>
      </c>
      <c r="I11" s="10" t="n">
        <f aca="false">H11*D11/$L$2</f>
        <v>-0.345356906804454</v>
      </c>
      <c r="J11" s="10"/>
      <c r="K11" s="4" t="s">
        <v>8</v>
      </c>
      <c r="L11" s="20" t="n">
        <f aca="false">I30</f>
        <v>3.99677908469915</v>
      </c>
      <c r="N11" s="11" t="s">
        <v>32</v>
      </c>
      <c r="O11" s="13" t="n">
        <v>0.995</v>
      </c>
      <c r="Q11" s="9" t="s">
        <v>33</v>
      </c>
      <c r="R11" s="9" t="n">
        <f aca="false">R9*SQRT(R3)</f>
        <v>1696.37988553888</v>
      </c>
      <c r="S11" s="9" t="n">
        <f aca="false">R11+T11</f>
        <v>1801.12106303936</v>
      </c>
      <c r="T11" s="3" t="n">
        <f aca="false">R40</f>
        <v>104.741177500476</v>
      </c>
    </row>
    <row r="12" customFormat="false" ht="12.8" hidden="false" customHeight="false" outlineLevel="0" collapsed="false">
      <c r="A12" s="0" t="n">
        <f aca="false">A13-0.025</f>
        <v>-0.45</v>
      </c>
      <c r="B12" s="0" t="n">
        <f aca="false">EXP(A12)</f>
        <v>0.637628151621773</v>
      </c>
      <c r="C12" s="2" t="n">
        <f aca="false">B12-1</f>
        <v>-0.362371848378227</v>
      </c>
      <c r="D12" s="1" t="n">
        <f aca="false">B12*$O$2</f>
        <v>1007.4524795624</v>
      </c>
      <c r="E12" s="10" t="n">
        <f aca="false">I12*$L$2</f>
        <v>-18.354322174648</v>
      </c>
      <c r="F12" s="2" t="n">
        <f aca="false">(($L$27*(D12-$O$2)/SQRT($L$4)) - 2*$L$28*(SQRT(D12)-SQRT($O$2)))/$L$2</f>
        <v>-0.758974038518944</v>
      </c>
      <c r="G12" s="10" t="n">
        <f aca="false">F12*$L$2</f>
        <v>-75.8974038518944</v>
      </c>
      <c r="H12" s="10" t="n">
        <f aca="false">($L$27/SQRT($L$4))-$L$28/SQRT(D12)</f>
        <v>-0.0182185488119702</v>
      </c>
      <c r="I12" s="10" t="n">
        <f aca="false">H12*D12/$L$2</f>
        <v>-0.18354322174648</v>
      </c>
      <c r="J12" s="10"/>
      <c r="K12" s="4" t="s">
        <v>34</v>
      </c>
      <c r="L12" s="21" t="n">
        <f aca="false">E30</f>
        <v>399.677908469915</v>
      </c>
      <c r="N12" s="11" t="s">
        <v>35</v>
      </c>
      <c r="O12" s="13" t="n">
        <v>0.001</v>
      </c>
      <c r="Q12" s="9" t="s">
        <v>36</v>
      </c>
      <c r="R12" s="22" t="n">
        <f aca="false">L4</f>
        <v>1053.33</v>
      </c>
      <c r="S12" s="22" t="n">
        <f aca="false">R12</f>
        <v>1053.33</v>
      </c>
    </row>
    <row r="13" customFormat="false" ht="12.8" hidden="false" customHeight="false" outlineLevel="0" collapsed="false">
      <c r="A13" s="0" t="n">
        <f aca="false">A14-0.025</f>
        <v>-0.425</v>
      </c>
      <c r="B13" s="0" t="n">
        <f aca="false">EXP(A13)</f>
        <v>0.653769785129847</v>
      </c>
      <c r="C13" s="2" t="n">
        <f aca="false">B13-1</f>
        <v>-0.346230214870153</v>
      </c>
      <c r="D13" s="1" t="n">
        <f aca="false">B13*$O$2</f>
        <v>1032.95626050516</v>
      </c>
      <c r="E13" s="10" t="n">
        <f aca="false">I13*$L$2</f>
        <v>-1.54878678738076</v>
      </c>
      <c r="F13" s="2" t="n">
        <f aca="false">(($L$27*(D13-$O$2)/SQRT($L$4)) - 2*$L$28*(SQRT(D13)-SQRT($O$2)))/$L$2</f>
        <v>-0.761475121423944</v>
      </c>
      <c r="G13" s="10" t="n">
        <f aca="false">F13*$L$2</f>
        <v>-76.1475121423944</v>
      </c>
      <c r="H13" s="10" t="n">
        <f aca="false">($L$27/SQRT($L$4))-$L$28/SQRT(D13)</f>
        <v>-0.00149937305827774</v>
      </c>
      <c r="I13" s="10" t="n">
        <f aca="false">H13*D13/$L$2</f>
        <v>-0.0154878678738076</v>
      </c>
      <c r="J13" s="10"/>
      <c r="Q13" s="9" t="s">
        <v>37</v>
      </c>
      <c r="R13" s="9" t="n">
        <f aca="false">R11/R10</f>
        <v>1580</v>
      </c>
      <c r="S13" s="9" t="n">
        <f aca="false">S11/S10</f>
        <v>1677.5554248559</v>
      </c>
    </row>
    <row r="14" customFormat="false" ht="12.8" hidden="false" customHeight="false" outlineLevel="0" collapsed="false">
      <c r="A14" s="0" t="n">
        <f aca="false">A15-0.025</f>
        <v>-0.4</v>
      </c>
      <c r="B14" s="0" t="n">
        <f aca="false">EXP(A14)</f>
        <v>0.670320046035639</v>
      </c>
      <c r="C14" s="2" t="n">
        <f aca="false">B14-1</f>
        <v>-0.329679953964361</v>
      </c>
      <c r="D14" s="1" t="n">
        <f aca="false">B14*$O$2</f>
        <v>1059.10567273631</v>
      </c>
      <c r="E14" s="10" t="n">
        <f aca="false">I14*$L$2</f>
        <v>15.8994148415221</v>
      </c>
      <c r="F14" s="2" t="n">
        <f aca="false">(($L$27*(D14-$O$2)/SQRT($L$4)) - 2*$L$28*(SQRT(D14)-SQRT($O$2)))/$L$2</f>
        <v>-0.759694877787547</v>
      </c>
      <c r="G14" s="10" t="n">
        <f aca="false">F14*$L$2</f>
        <v>-75.9694877787547</v>
      </c>
      <c r="H14" s="10" t="n">
        <f aca="false">($L$27/SQRT($L$4))-$L$28/SQRT(D14)</f>
        <v>0.0150121137586245</v>
      </c>
      <c r="I14" s="10" t="n">
        <f aca="false">H14*D14/$L$2</f>
        <v>0.158994148415221</v>
      </c>
      <c r="J14" s="10"/>
      <c r="Q14" s="9" t="s">
        <v>38</v>
      </c>
      <c r="R14" s="9" t="n">
        <f aca="false">-R6*R12</f>
        <v>-1050.17001</v>
      </c>
      <c r="S14" s="9" t="n">
        <f aca="false">-S6*S12</f>
        <v>-1050.17001</v>
      </c>
    </row>
    <row r="15" customFormat="false" ht="12.8" hidden="false" customHeight="false" outlineLevel="0" collapsed="false">
      <c r="A15" s="0" t="n">
        <f aca="false">A16-0.025</f>
        <v>-0.375</v>
      </c>
      <c r="B15" s="0" t="n">
        <f aca="false">EXP(A15)</f>
        <v>0.687289278790972</v>
      </c>
      <c r="C15" s="2" t="n">
        <f aca="false">B15-1</f>
        <v>-0.312710721209028</v>
      </c>
      <c r="D15" s="1" t="n">
        <f aca="false">B15*$O$2</f>
        <v>1085.91706048974</v>
      </c>
      <c r="E15" s="10" t="n">
        <f aca="false">I15*$L$2</f>
        <v>34.0092843287143</v>
      </c>
      <c r="F15" s="2" t="n">
        <f aca="false">(($L$27*(D15-$O$2)/SQRT($L$4)) - 2*$L$28*(SQRT(D15)-SQRT($O$2)))/$L$2</f>
        <v>-0.753470276446542</v>
      </c>
      <c r="G15" s="10" t="n">
        <f aca="false">F15*$L$2</f>
        <v>-75.3470276446542</v>
      </c>
      <c r="H15" s="10" t="n">
        <f aca="false">($L$27/SQRT($L$4))-$L$28/SQRT(D15)</f>
        <v>0.0313184915921447</v>
      </c>
      <c r="I15" s="10" t="n">
        <f aca="false">H15*D15/$L$2</f>
        <v>0.340092843287143</v>
      </c>
      <c r="J15" s="10"/>
      <c r="K15" s="8" t="s">
        <v>39</v>
      </c>
      <c r="L15" s="8"/>
      <c r="Q15" s="9" t="s">
        <v>40</v>
      </c>
      <c r="R15" s="9" t="n">
        <f aca="false">(R4-R10)*R6*R12+(R11*R6+R5)</f>
        <v>6617474.53508258</v>
      </c>
      <c r="S15" s="9" t="n">
        <f aca="false">(S4-S10)*S6*S12+(S11*S6+S5)</f>
        <v>6617578.96203655</v>
      </c>
    </row>
    <row r="16" customFormat="false" ht="12.8" hidden="false" customHeight="false" outlineLevel="0" collapsed="false">
      <c r="A16" s="0" t="n">
        <f aca="false">A17-0.025</f>
        <v>-0.35</v>
      </c>
      <c r="B16" s="0" t="n">
        <f aca="false">EXP(A16)</f>
        <v>0.704688089718713</v>
      </c>
      <c r="C16" s="2" t="n">
        <f aca="false">B16-1</f>
        <v>-0.295311910281287</v>
      </c>
      <c r="D16" s="1" t="n">
        <f aca="false">B16*$O$2</f>
        <v>1113.40718175557</v>
      </c>
      <c r="E16" s="10" t="n">
        <f aca="false">I16*$L$2</f>
        <v>52.8003386889708</v>
      </c>
      <c r="F16" s="2" t="n">
        <f aca="false">(($L$27*(D16-$O$2)/SQRT($L$4)) - 2*$L$28*(SQRT(D16)-SQRT($O$2)))/$L$2</f>
        <v>-0.742633471686091</v>
      </c>
      <c r="G16" s="10" t="n">
        <f aca="false">F16*$L$2</f>
        <v>-74.2633471686091</v>
      </c>
      <c r="H16" s="10" t="n">
        <f aca="false">($L$27/SQRT($L$4))-$L$28/SQRT(D16)</f>
        <v>0.0474223083469947</v>
      </c>
      <c r="I16" s="10" t="n">
        <f aca="false">H16*D16/$L$2</f>
        <v>0.528003386889708</v>
      </c>
      <c r="J16" s="10"/>
      <c r="K16" s="4" t="s">
        <v>41</v>
      </c>
      <c r="L16" s="23" t="n">
        <f aca="false">S31</f>
        <v>1580.31961475941</v>
      </c>
      <c r="Q16" s="9" t="s">
        <v>42</v>
      </c>
      <c r="R16" s="9" t="n">
        <f aca="false">(R10*R12-R11)*R4*R6</f>
        <v>-1418310.18976679</v>
      </c>
      <c r="S16" s="9" t="n">
        <f aca="false">(S10*S12-S11)*S4*S6</f>
        <v>-1681024.70386509</v>
      </c>
    </row>
    <row r="17" customFormat="false" ht="12.8" hidden="false" customHeight="false" outlineLevel="0" collapsed="false">
      <c r="A17" s="0" t="n">
        <f aca="false">A18-0.025</f>
        <v>-0.325</v>
      </c>
      <c r="B17" s="0" t="n">
        <f aca="false">EXP(A17)</f>
        <v>0.722527353642072</v>
      </c>
      <c r="C17" s="2" t="n">
        <f aca="false">B17-1</f>
        <v>-0.277472646357928</v>
      </c>
      <c r="D17" s="1" t="n">
        <f aca="false">B17*$O$2</f>
        <v>1141.59321875447</v>
      </c>
      <c r="E17" s="10" t="n">
        <f aca="false">I17*$L$2</f>
        <v>72.2926238148739</v>
      </c>
      <c r="F17" s="2" t="n">
        <f aca="false">(($L$27*(D17-$O$2)/SQRT($L$4)) - 2*$L$28*(SQRT(D17)-SQRT($O$2)))/$L$2</f>
        <v>-0.727011672712315</v>
      </c>
      <c r="G17" s="10" t="n">
        <f aca="false">F17*$L$2</f>
        <v>-72.7011672712315</v>
      </c>
      <c r="H17" s="10" t="n">
        <f aca="false">($L$27/SQRT($L$4))-$L$28/SQRT(D17)</f>
        <v>0.0633260802773059</v>
      </c>
      <c r="I17" s="10" t="n">
        <f aca="false">H17*D17/$L$2</f>
        <v>0.722926238148738</v>
      </c>
      <c r="J17" s="10"/>
      <c r="K17" s="4" t="s">
        <v>43</v>
      </c>
      <c r="L17" s="24" t="n">
        <f aca="false">L16/O2-1</f>
        <v>0.000202287822410385</v>
      </c>
      <c r="Q17" s="9"/>
      <c r="R17" s="9"/>
      <c r="S17" s="9"/>
    </row>
    <row r="18" customFormat="false" ht="12.8" hidden="false" customHeight="false" outlineLevel="0" collapsed="false">
      <c r="A18" s="0" t="n">
        <f aca="false">A19-0.025</f>
        <v>-0.3</v>
      </c>
      <c r="B18" s="0" t="n">
        <f aca="false">EXP(A18)</f>
        <v>0.740818220681718</v>
      </c>
      <c r="C18" s="2" t="n">
        <f aca="false">B18-1</f>
        <v>-0.259181779318282</v>
      </c>
      <c r="D18" s="1" t="n">
        <f aca="false">B18*$O$2</f>
        <v>1170.49278867711</v>
      </c>
      <c r="E18" s="10" t="n">
        <f aca="false">I18*$L$2</f>
        <v>92.5067283031763</v>
      </c>
      <c r="F18" s="2" t="n">
        <f aca="false">(($L$27*(D18-$O$2)/SQRT($L$4)) - 2*$L$28*(SQRT(D18)-SQRT($O$2)))/$L$2</f>
        <v>-0.706427009711906</v>
      </c>
      <c r="G18" s="10" t="n">
        <f aca="false">F18*$L$2</f>
        <v>-70.6427009711906</v>
      </c>
      <c r="H18" s="10" t="n">
        <f aca="false">($L$27/SQRT($L$4))-$L$28/SQRT(D18)</f>
        <v>0.0790322923797993</v>
      </c>
      <c r="I18" s="10" t="n">
        <f aca="false">H18*D18/$L$2</f>
        <v>0.925067283031763</v>
      </c>
      <c r="J18" s="10"/>
      <c r="Q18" s="9" t="s">
        <v>44</v>
      </c>
      <c r="R18" s="9" t="n">
        <f aca="false">SQRT(R15*R15-4*R14*R16)</f>
        <v>6617024.35806018</v>
      </c>
      <c r="S18" s="9" t="n">
        <f aca="false">SQRT(S15*S15-4*S14*S16)</f>
        <v>6617045.40349153</v>
      </c>
    </row>
    <row r="19" customFormat="false" ht="12.8" hidden="false" customHeight="false" outlineLevel="0" collapsed="false">
      <c r="A19" s="0" t="n">
        <f aca="false">A20-0.025</f>
        <v>-0.275</v>
      </c>
      <c r="B19" s="0" t="n">
        <f aca="false">EXP(A19)</f>
        <v>0.759572123224968</v>
      </c>
      <c r="C19" s="2" t="n">
        <f aca="false">B19-1</f>
        <v>-0.240427876775032</v>
      </c>
      <c r="D19" s="1" t="n">
        <f aca="false">B19*$O$2</f>
        <v>1200.12395469545</v>
      </c>
      <c r="E19" s="10" t="n">
        <f aca="false">I19*$L$2</f>
        <v>113.463797636686</v>
      </c>
      <c r="F19" s="2" t="n">
        <f aca="false">(($L$27*(D19-$O$2)/SQRT($L$4)) - 2*$L$28*(SQRT(D19)-SQRT($O$2)))/$L$2</f>
        <v>-0.680696396410817</v>
      </c>
      <c r="G19" s="10" t="n">
        <f aca="false">F19*$L$2</f>
        <v>-68.0696396410817</v>
      </c>
      <c r="H19" s="10" t="n">
        <f aca="false">($L$27/SQRT($L$4))-$L$28/SQRT(D19)</f>
        <v>0.0945433987820692</v>
      </c>
      <c r="I19" s="10" t="n">
        <f aca="false">H19*D19/$L$2</f>
        <v>1.13463797636686</v>
      </c>
      <c r="J19" s="10"/>
      <c r="Q19" s="9" t="s">
        <v>45</v>
      </c>
      <c r="R19" s="9" t="n">
        <f aca="false">-R15+R18</f>
        <v>-450.177022400312</v>
      </c>
      <c r="S19" s="9" t="n">
        <f aca="false">-S15+S18</f>
        <v>-533.55854501389</v>
      </c>
    </row>
    <row r="20" customFormat="false" ht="12.8" hidden="false" customHeight="false" outlineLevel="0" collapsed="false">
      <c r="A20" s="0" t="n">
        <f aca="false">A21-0.025</f>
        <v>-0.25</v>
      </c>
      <c r="B20" s="0" t="n">
        <f aca="false">EXP(A20)</f>
        <v>0.778800783071405</v>
      </c>
      <c r="C20" s="2" t="n">
        <f aca="false">B20-1</f>
        <v>-0.221199216928595</v>
      </c>
      <c r="D20" s="1" t="n">
        <f aca="false">B20*$O$2</f>
        <v>1230.50523725282</v>
      </c>
      <c r="E20" s="10" t="n">
        <f aca="false">I20*$L$2</f>
        <v>135.185548730748</v>
      </c>
      <c r="F20" s="2" t="n">
        <f aca="false">(($L$27*(D20-$O$2)/SQRT($L$4)) - 2*$L$28*(SQRT(D20)-SQRT($O$2)))/$L$2</f>
        <v>-0.649631389042149</v>
      </c>
      <c r="G20" s="10" t="n">
        <f aca="false">F20*$L$2</f>
        <v>-64.9631389042149</v>
      </c>
      <c r="H20" s="10" t="n">
        <f aca="false">($L$27/SQRT($L$4))-$L$28/SQRT(D20)</f>
        <v>0.109861823126051</v>
      </c>
      <c r="I20" s="10" t="n">
        <f aca="false">H20*D20/$L$2</f>
        <v>1.35185548730748</v>
      </c>
      <c r="J20" s="0"/>
      <c r="K20" s="8" t="s">
        <v>46</v>
      </c>
      <c r="L20" s="8"/>
      <c r="M20" s="2"/>
      <c r="N20" s="2"/>
      <c r="O20" s="2"/>
      <c r="P20" s="2"/>
      <c r="Q20" s="9" t="s">
        <v>47</v>
      </c>
      <c r="R20" s="9" t="n">
        <f aca="false">-R15-R18</f>
        <v>-13234498.8931428</v>
      </c>
      <c r="S20" s="9" t="n">
        <f aca="false">-S15-S18</f>
        <v>-13234624.3655281</v>
      </c>
    </row>
    <row r="21" customFormat="false" ht="12.8" hidden="false" customHeight="false" outlineLevel="0" collapsed="false">
      <c r="A21" s="0" t="n">
        <f aca="false">A22-0.025</f>
        <v>-0.225</v>
      </c>
      <c r="B21" s="0" t="n">
        <f aca="false">EXP(A21)</f>
        <v>0.798516218759377</v>
      </c>
      <c r="C21" s="2" t="n">
        <f aca="false">B21-1</f>
        <v>-0.201483781240623</v>
      </c>
      <c r="D21" s="1" t="n">
        <f aca="false">B21*$O$2</f>
        <v>1261.65562563982</v>
      </c>
      <c r="E21" s="10" t="n">
        <f aca="false">I21*$L$2</f>
        <v>157.694284853607</v>
      </c>
      <c r="F21" s="2" t="n">
        <f aca="false">(($L$27*(D21-$O$2)/SQRT($L$4)) - 2*$L$28*(SQRT(D21)-SQRT($O$2)))/$L$2</f>
        <v>-0.613038041630847</v>
      </c>
      <c r="G21" s="10" t="n">
        <f aca="false">F21*$L$2</f>
        <v>-61.3038041630847</v>
      </c>
      <c r="H21" s="10" t="n">
        <f aca="false">($L$27/SQRT($L$4))-$L$28/SQRT(D21)</f>
        <v>0.124989958946711</v>
      </c>
      <c r="I21" s="10" t="n">
        <f aca="false">H21*D21/$L$2</f>
        <v>1.57694284853607</v>
      </c>
      <c r="J21" s="0"/>
      <c r="K21" s="25" t="s">
        <v>48</v>
      </c>
      <c r="L21" s="26" t="n">
        <f aca="false">R46/SQRT(L4)</f>
        <v>1.327692515123</v>
      </c>
      <c r="Q21" s="9" t="s">
        <v>49</v>
      </c>
      <c r="R21" s="27" t="n">
        <f aca="false">R19/(2*R14)</f>
        <v>0.214335306718725</v>
      </c>
      <c r="S21" s="27" t="n">
        <f aca="false">S19/(2*S14)</f>
        <v>0.254034365832771</v>
      </c>
    </row>
    <row r="22" customFormat="false" ht="12.8" hidden="false" customHeight="false" outlineLevel="0" collapsed="false">
      <c r="A22" s="0" t="n">
        <f aca="false">A23-0.025</f>
        <v>-0.2</v>
      </c>
      <c r="B22" s="0" t="n">
        <f aca="false">EXP(A22)</f>
        <v>0.818730753077982</v>
      </c>
      <c r="C22" s="2" t="n">
        <f aca="false">B22-1</f>
        <v>-0.181269246922018</v>
      </c>
      <c r="D22" s="1" t="n">
        <f aca="false">B22*$O$2</f>
        <v>1293.59458986321</v>
      </c>
      <c r="E22" s="10" t="n">
        <f aca="false">I22*$L$2</f>
        <v>181.012910930212</v>
      </c>
      <c r="F22" s="2" t="n">
        <f aca="false">(($L$27*(D22-$O$2)/SQRT($L$4)) - 2*$L$28*(SQRT(D22)-SQRT($O$2)))/$L$2</f>
        <v>-0.570716757500601</v>
      </c>
      <c r="G22" s="10" t="n">
        <f aca="false">F22*$L$2</f>
        <v>-57.0716757500601</v>
      </c>
      <c r="H22" s="10" t="n">
        <f aca="false">($L$27/SQRT($L$4))-$L$28/SQRT(D22)</f>
        <v>0.139930170046052</v>
      </c>
      <c r="I22" s="10" t="n">
        <f aca="false">H22*D22/$L$2</f>
        <v>1.81012910930212</v>
      </c>
      <c r="J22" s="0"/>
      <c r="K22" s="25" t="s">
        <v>50</v>
      </c>
      <c r="L22" s="26" t="n">
        <f aca="false">R46*SQRT(L4)</f>
        <v>1398.49835695451</v>
      </c>
      <c r="Q22" s="9" t="s">
        <v>51</v>
      </c>
      <c r="R22" s="28" t="n">
        <f aca="false">R20/(2*R14)</f>
        <v>6301.12208838584</v>
      </c>
      <c r="S22" s="28" t="n">
        <f aca="false">S20/(2*S14)</f>
        <v>6301.18182746815</v>
      </c>
    </row>
    <row r="23" customFormat="false" ht="12.8" hidden="false" customHeight="false" outlineLevel="0" collapsed="false">
      <c r="A23" s="0" t="n">
        <f aca="false">A24-0.025</f>
        <v>-0.175</v>
      </c>
      <c r="B23" s="0" t="n">
        <f aca="false">EXP(A23)</f>
        <v>0.839457020769207</v>
      </c>
      <c r="C23" s="2" t="n">
        <f aca="false">B23-1</f>
        <v>-0.160542979230793</v>
      </c>
      <c r="D23" s="1" t="n">
        <f aca="false">B23*$O$2</f>
        <v>1326.34209281535</v>
      </c>
      <c r="E23" s="10" t="n">
        <f aca="false">I23*$L$2</f>
        <v>205.164949239209</v>
      </c>
      <c r="F23" s="2" t="n">
        <f aca="false">(($L$27*(D23-$O$2)/SQRT($L$4)) - 2*$L$28*(SQRT(D23)-SQRT($O$2)))/$L$2</f>
        <v>-0.522462136905834</v>
      </c>
      <c r="G23" s="10" t="n">
        <f aca="false">F23*$L$2</f>
        <v>-52.2462136905834</v>
      </c>
      <c r="H23" s="10" t="n">
        <f aca="false">($L$27/SQRT($L$4))-$L$28/SQRT(D23)</f>
        <v>0.154684790862452</v>
      </c>
      <c r="I23" s="10" t="n">
        <f aca="false">H23*D23/$L$2</f>
        <v>2.05164949239209</v>
      </c>
      <c r="J23" s="0"/>
      <c r="K23" s="25" t="s">
        <v>52</v>
      </c>
      <c r="L23" s="26" t="n">
        <f aca="false">L22/L21</f>
        <v>1053.33</v>
      </c>
      <c r="Q23" s="9" t="s">
        <v>53</v>
      </c>
      <c r="R23" s="9" t="n">
        <f aca="false">R5*R21/((R4-R21)*R6)</f>
        <v>339.69773208014</v>
      </c>
      <c r="S23" s="9" t="n">
        <f aca="false">S5*S21/((S4-S21)*S6)</f>
        <v>402.622699644991</v>
      </c>
    </row>
    <row r="24" customFormat="false" ht="12.8" hidden="false" customHeight="false" outlineLevel="0" collapsed="false">
      <c r="A24" s="0" t="n">
        <f aca="false">A25-0.025</f>
        <v>-0.15</v>
      </c>
      <c r="B24" s="0" t="n">
        <f aca="false">EXP(A24)</f>
        <v>0.860707976425058</v>
      </c>
      <c r="C24" s="2" t="n">
        <f aca="false">B24-1</f>
        <v>-0.139292023574942</v>
      </c>
      <c r="D24" s="1" t="n">
        <f aca="false">B24*$O$2</f>
        <v>1359.91860275159</v>
      </c>
      <c r="E24" s="10" t="n">
        <f aca="false">I24*$L$2</f>
        <v>230.174555513191</v>
      </c>
      <c r="F24" s="2" t="n">
        <f aca="false">(($L$27*(D24-$O$2)/SQRT($L$4)) - 2*$L$28*(SQRT(D24)-SQRT($O$2)))/$L$2</f>
        <v>-0.46806282068924</v>
      </c>
      <c r="G24" s="10" t="n">
        <f aca="false">F24*$L$2</f>
        <v>-46.806282068924</v>
      </c>
      <c r="H24" s="10" t="n">
        <f aca="false">($L$27/SQRT($L$4))-$L$28/SQRT(D24)</f>
        <v>0.169256126835435</v>
      </c>
      <c r="I24" s="10" t="n">
        <f aca="false">H24*D24/$L$2</f>
        <v>2.30174555513191</v>
      </c>
      <c r="J24" s="0"/>
      <c r="K24" s="25" t="s">
        <v>54</v>
      </c>
      <c r="L24" s="29" t="n">
        <f aca="false">L4/O2</f>
        <v>0.666664556962025</v>
      </c>
      <c r="Q24" s="9" t="s">
        <v>55</v>
      </c>
      <c r="R24" s="9" t="n">
        <f aca="false">R10+R21</f>
        <v>1.28799346212308</v>
      </c>
      <c r="S24" s="9" t="n">
        <f aca="false">S10+S21</f>
        <v>1.32769252123713</v>
      </c>
    </row>
    <row r="25" customFormat="false" ht="12.8" hidden="false" customHeight="false" outlineLevel="0" collapsed="false">
      <c r="A25" s="0" t="n">
        <f aca="false">A26-0.025</f>
        <v>-0.125</v>
      </c>
      <c r="B25" s="0" t="n">
        <f aca="false">EXP(A25)</f>
        <v>0.882496902584595</v>
      </c>
      <c r="C25" s="2" t="n">
        <f aca="false">B25-1</f>
        <v>-0.117503097415405</v>
      </c>
      <c r="D25" s="1" t="n">
        <f aca="false">B25*$O$2</f>
        <v>1394.34510608366</v>
      </c>
      <c r="E25" s="10" t="n">
        <f aca="false">I25*$L$2</f>
        <v>256.066535452434</v>
      </c>
      <c r="F25" s="2" t="n">
        <f aca="false">(($L$27*(D25-$O$2)/SQRT($L$4)) - 2*$L$28*(SQRT(D25)-SQRT($O$2)))/$L$2</f>
        <v>-0.407301329862837</v>
      </c>
      <c r="G25" s="10" t="n">
        <f aca="false">F25*$L$2</f>
        <v>-40.7301329862837</v>
      </c>
      <c r="H25" s="10" t="n">
        <f aca="false">($L$27/SQRT($L$4))-$L$28/SQRT(D25)</f>
        <v>0.18364645476589</v>
      </c>
      <c r="I25" s="10" t="n">
        <f aca="false">H25*D25/$L$2</f>
        <v>2.56066535452434</v>
      </c>
      <c r="J25" s="0"/>
      <c r="K25" s="25" t="s">
        <v>56</v>
      </c>
      <c r="L25" s="26" t="n">
        <f aca="false">L22+L21*L16</f>
        <v>3496.67688097263</v>
      </c>
      <c r="Q25" s="9" t="s">
        <v>57</v>
      </c>
      <c r="R25" s="9" t="n">
        <f aca="false">R11-R23</f>
        <v>1356.68215345874</v>
      </c>
      <c r="S25" s="9" t="n">
        <f aca="false">S11-S23</f>
        <v>1398.49836339437</v>
      </c>
    </row>
    <row r="26" customFormat="false" ht="12.8" hidden="false" customHeight="false" outlineLevel="0" collapsed="false">
      <c r="A26" s="0" t="n">
        <f aca="false">A27-0.025</f>
        <v>-0.1</v>
      </c>
      <c r="B26" s="0" t="n">
        <f aca="false">EXP(A26)</f>
        <v>0.90483741803596</v>
      </c>
      <c r="C26" s="2" t="n">
        <f aca="false">B26-1</f>
        <v>-0.09516258196404</v>
      </c>
      <c r="D26" s="1" t="n">
        <f aca="false">B26*$O$2</f>
        <v>1429.64312049682</v>
      </c>
      <c r="E26" s="10" t="n">
        <f aca="false">I26*$L$2</f>
        <v>282.866361662715</v>
      </c>
      <c r="F26" s="2" t="n">
        <f aca="false">(($L$27*(D26-$O$2)/SQRT($L$4)) - 2*$L$28*(SQRT(D26)-SQRT($O$2)))/$L$2</f>
        <v>-0.339953901007731</v>
      </c>
      <c r="G26" s="10" t="n">
        <f aca="false">F26*$L$2</f>
        <v>-33.9953901007731</v>
      </c>
      <c r="H26" s="10" t="n">
        <f aca="false">($L$27/SQRT($L$4))-$L$28/SQRT(D26)</f>
        <v>0.197858023171836</v>
      </c>
      <c r="I26" s="10" t="n">
        <f aca="false">H26*D26/$L$2</f>
        <v>2.82866361662715</v>
      </c>
      <c r="J26" s="0"/>
      <c r="K26" s="25" t="s">
        <v>58</v>
      </c>
      <c r="L26" s="26" t="n">
        <f aca="false">2*SQRT(L22*L21)*L3*SQRT(L16)</f>
        <v>3396.49601362914</v>
      </c>
      <c r="Q26" s="9" t="s">
        <v>59</v>
      </c>
      <c r="R26" s="9" t="n">
        <f aca="false">R25/R24</f>
        <v>1053.3300000005</v>
      </c>
      <c r="S26" s="9" t="n">
        <f aca="false">S25/S24</f>
        <v>1053.32999999975</v>
      </c>
    </row>
    <row r="27" customFormat="false" ht="12.8" hidden="false" customHeight="false" outlineLevel="0" collapsed="false">
      <c r="A27" s="0" t="n">
        <f aca="false">A28-0.025</f>
        <v>-0.075</v>
      </c>
      <c r="B27" s="0" t="n">
        <f aca="false">EXP(A27)</f>
        <v>0.927743486328553</v>
      </c>
      <c r="C27" s="2" t="n">
        <f aca="false">B27-1</f>
        <v>-0.072256513671447</v>
      </c>
      <c r="D27" s="1" t="n">
        <f aca="false">B27*$O$2</f>
        <v>1465.83470839911</v>
      </c>
      <c r="E27" s="10" t="n">
        <f aca="false">I27*$L$2</f>
        <v>310.600191027982</v>
      </c>
      <c r="F27" s="2" t="n">
        <f aca="false">(($L$27*(D27-$O$2)/SQRT($L$4)) - 2*$L$28*(SQRT(D27)-SQRT($O$2)))/$L$2</f>
        <v>-0.265790317385348</v>
      </c>
      <c r="G27" s="10" t="n">
        <f aca="false">F27*$L$2</f>
        <v>-26.5790317385348</v>
      </c>
      <c r="H27" s="10" t="n">
        <f aca="false">($L$27/SQRT($L$4))-$L$28/SQRT(D27)</f>
        <v>0.211893052639747</v>
      </c>
      <c r="I27" s="10" t="n">
        <f aca="false">H27*D27/$L$2</f>
        <v>3.10600191027982</v>
      </c>
      <c r="J27" s="0"/>
      <c r="K27" s="25" t="s">
        <v>60</v>
      </c>
      <c r="L27" s="0" t="n">
        <f aca="false">SQRT(L22*L21)</f>
        <v>43.0903214299953</v>
      </c>
      <c r="Q27" s="3" t="s">
        <v>61</v>
      </c>
      <c r="R27" s="3" t="n">
        <f aca="false">SQRT(R24*R25)</f>
        <v>41.8018868453796</v>
      </c>
      <c r="S27" s="3" t="n">
        <f aca="false">SQRT(S24*S25)</f>
        <v>43.0903216284244</v>
      </c>
    </row>
    <row r="28" customFormat="false" ht="12.8" hidden="false" customHeight="false" outlineLevel="0" collapsed="false">
      <c r="A28" s="0" t="n">
        <f aca="false">A29-0.025</f>
        <v>-0.05</v>
      </c>
      <c r="B28" s="0" t="n">
        <f aca="false">EXP(A28)</f>
        <v>0.951229424500714</v>
      </c>
      <c r="C28" s="2" t="n">
        <f aca="false">B28-1</f>
        <v>-0.048770575499286</v>
      </c>
      <c r="D28" s="1" t="n">
        <f aca="false">B28*$O$2</f>
        <v>1502.94249071113</v>
      </c>
      <c r="E28" s="10" t="n">
        <f aca="false">I28*$L$2</f>
        <v>339.294882528988</v>
      </c>
      <c r="F28" s="2" t="n">
        <f aca="false">(($L$27*(D28-$O$2)/SQRT($L$4)) - 2*$L$28*(SQRT(D28)-SQRT($O$2)))/$L$2</f>
        <v>-0.184573735649972</v>
      </c>
      <c r="G28" s="10" t="n">
        <f aca="false">F28*$L$2</f>
        <v>-18.4573735649972</v>
      </c>
      <c r="H28" s="10" t="n">
        <f aca="false">($L$27/SQRT($L$4))-$L$28/SQRT(D28)</f>
        <v>0.225753736171534</v>
      </c>
      <c r="I28" s="10" t="n">
        <f aca="false">H28*D28/$L$2</f>
        <v>3.39294882528988</v>
      </c>
      <c r="J28" s="0"/>
      <c r="K28" s="25" t="s">
        <v>62</v>
      </c>
      <c r="L28" s="4" t="n">
        <f aca="false">L27*L3</f>
        <v>42.7197446656973</v>
      </c>
    </row>
    <row r="29" customFormat="false" ht="12.8" hidden="false" customHeight="false" outlineLevel="0" collapsed="false">
      <c r="A29" s="0" t="n">
        <f aca="false">A30-0.025</f>
        <v>-0.025</v>
      </c>
      <c r="B29" s="0" t="n">
        <f aca="false">EXP(A29)</f>
        <v>0.975309912028333</v>
      </c>
      <c r="C29" s="2" t="n">
        <f aca="false">B29-1</f>
        <v>-0.0246900879716671</v>
      </c>
      <c r="D29" s="1" t="n">
        <f aca="false">B29*$O$2</f>
        <v>1540.98966100477</v>
      </c>
      <c r="E29" s="10" t="n">
        <f aca="false">I29*$L$2</f>
        <v>368.978015519238</v>
      </c>
      <c r="F29" s="2" t="n">
        <f aca="false">(($L$27*(D29-$O$2)/SQRT($L$4)) - 2*$L$28*(SQRT(D29)-SQRT($O$2)))/$L$2</f>
        <v>-0.0960605080496925</v>
      </c>
      <c r="G29" s="10" t="n">
        <f aca="false">F29*$L$2</f>
        <v>-9.60605080496925</v>
      </c>
      <c r="H29" s="10" t="n">
        <f aca="false">($L$27/SQRT($L$4))-$L$28/SQRT(D29)</f>
        <v>0.239442239527198</v>
      </c>
      <c r="I29" s="10" t="n">
        <f aca="false">H29*D29/$L$2</f>
        <v>3.68978015519238</v>
      </c>
      <c r="J29" s="0"/>
      <c r="Q29" s="3" t="s">
        <v>63</v>
      </c>
      <c r="R29" s="3" t="n">
        <f aca="false">R4-R21</f>
        <v>2515.55869182642</v>
      </c>
      <c r="S29" s="3" t="n">
        <f aca="false">S4-S21</f>
        <v>2515.5189927673</v>
      </c>
    </row>
    <row r="30" customFormat="false" ht="12.8" hidden="false" customHeight="false" outlineLevel="0" collapsed="false">
      <c r="A30" s="30" t="n">
        <v>0</v>
      </c>
      <c r="B30" s="30" t="n">
        <f aca="false">EXP(A30)</f>
        <v>1</v>
      </c>
      <c r="C30" s="31" t="n">
        <f aca="false">B30-1</f>
        <v>0</v>
      </c>
      <c r="D30" s="32" t="n">
        <f aca="false">B30*$O$2</f>
        <v>1580</v>
      </c>
      <c r="E30" s="33" t="n">
        <f aca="false">I30*$L$2</f>
        <v>399.677908469915</v>
      </c>
      <c r="F30" s="31" t="n">
        <f aca="false">(($L$27*(D30-$O$2)/SQRT($L$4)) - 2*$L$28*(SQRT(D30)-SQRT($O$2)))/$L$2</f>
        <v>0</v>
      </c>
      <c r="G30" s="34" t="n">
        <f aca="false">F30*$L$2</f>
        <v>0</v>
      </c>
      <c r="H30" s="34" t="n">
        <f aca="false">($L$27/SQRT($L$4))-$L$28/SQRT(D30)</f>
        <v>0.252960701563237</v>
      </c>
      <c r="I30" s="33" t="n">
        <f aca="false">H30*D30/$L$2</f>
        <v>3.99677908469915</v>
      </c>
      <c r="J30" s="0"/>
      <c r="Q30" s="3" t="s">
        <v>64</v>
      </c>
      <c r="R30" s="3" t="n">
        <f aca="false">R5+R23</f>
        <v>3975261.08060244</v>
      </c>
      <c r="S30" s="3" t="n">
        <f aca="false">S5+S23</f>
        <v>3975324.00557</v>
      </c>
    </row>
    <row r="31" customFormat="false" ht="12.8" hidden="false" customHeight="false" outlineLevel="0" collapsed="false">
      <c r="A31" s="0" t="n">
        <f aca="false">A30+0.025</f>
        <v>0.025</v>
      </c>
      <c r="B31" s="0" t="n">
        <f aca="false">EXP(A31)</f>
        <v>1.02531512052443</v>
      </c>
      <c r="C31" s="2" t="n">
        <f aca="false">B31-1</f>
        <v>0.0253151205244289</v>
      </c>
      <c r="D31" s="1" t="n">
        <f aca="false">B31*$O$2</f>
        <v>1619.9978904286</v>
      </c>
      <c r="E31" s="10" t="n">
        <f aca="false">I31*$L$2</f>
        <v>431.423638195731</v>
      </c>
      <c r="F31" s="2" t="n">
        <f aca="false">(($L$27*(D31-$O$2)/SQRT($L$4)) - 2*$L$28*(SQRT(D31)-SQRT($O$2)))/$L$2</f>
        <v>0.10386559708874</v>
      </c>
      <c r="G31" s="10" t="n">
        <f aca="false">F31*$L$2</f>
        <v>10.386559708874</v>
      </c>
      <c r="H31" s="10" t="n">
        <f aca="false">($L$27/SQRT($L$4))-$L$28/SQRT(D31)</f>
        <v>0.266311234566849</v>
      </c>
      <c r="I31" s="10" t="n">
        <f aca="false">H31*D31/$L$2</f>
        <v>4.31423638195731</v>
      </c>
      <c r="J31" s="0"/>
      <c r="Q31" s="3" t="s">
        <v>65</v>
      </c>
      <c r="R31" s="3" t="n">
        <f aca="false">R30/R29</f>
        <v>1580.26966077909</v>
      </c>
      <c r="S31" s="3" t="n">
        <f aca="false">S30/S29</f>
        <v>1580.31961475941</v>
      </c>
    </row>
    <row r="32" customFormat="false" ht="12.8" hidden="false" customHeight="false" outlineLevel="0" collapsed="false">
      <c r="A32" s="0" t="n">
        <f aca="false">A31+0.025</f>
        <v>0.05</v>
      </c>
      <c r="B32" s="0" t="n">
        <f aca="false">EXP(A32)</f>
        <v>1.05127109637602</v>
      </c>
      <c r="C32" s="2" t="n">
        <f aca="false">B32-1</f>
        <v>0.0512710963760241</v>
      </c>
      <c r="D32" s="1" t="n">
        <f aca="false">B32*$O$2</f>
        <v>1661.00833227412</v>
      </c>
      <c r="E32" s="10" t="n">
        <f aca="false">I32*$L$2</f>
        <v>464.245059573967</v>
      </c>
      <c r="F32" s="2" t="n">
        <f aca="false">(($L$27*(D32-$O$2)/SQRT($L$4)) - 2*$L$28*(SQRT(D32)-SQRT($O$2)))/$L$2</f>
        <v>0.21580145785161</v>
      </c>
      <c r="G32" s="10" t="n">
        <f aca="false">F32*$L$2</f>
        <v>21.580145785161</v>
      </c>
      <c r="H32" s="10" t="n">
        <f aca="false">($L$27/SQRT($L$4))-$L$28/SQRT(D32)</f>
        <v>0.279495924585977</v>
      </c>
      <c r="I32" s="10" t="n">
        <f aca="false">H32*D32/$L$2</f>
        <v>4.64245059573967</v>
      </c>
      <c r="J32" s="0"/>
      <c r="Q32" s="0"/>
      <c r="R32" s="0"/>
    </row>
    <row r="33" customFormat="false" ht="12.8" hidden="false" customHeight="false" outlineLevel="0" collapsed="false">
      <c r="A33" s="0" t="n">
        <f aca="false">A32+0.025</f>
        <v>0.075</v>
      </c>
      <c r="B33" s="0" t="n">
        <f aca="false">EXP(A33)</f>
        <v>1.07788415088463</v>
      </c>
      <c r="C33" s="2" t="n">
        <f aca="false">B33-1</f>
        <v>0.0778841508846315</v>
      </c>
      <c r="D33" s="1" t="n">
        <f aca="false">B33*$O$2</f>
        <v>1703.05695839772</v>
      </c>
      <c r="E33" s="10" t="n">
        <f aca="false">I33*$L$2</f>
        <v>498.172825769252</v>
      </c>
      <c r="F33" s="2" t="n">
        <f aca="false">(($L$27*(D33-$O$2)/SQRT($L$4)) - 2*$L$28*(SQRT(D33)-SQRT($O$2)))/$L$2</f>
        <v>0.336080320002234</v>
      </c>
      <c r="G33" s="10" t="n">
        <f aca="false">F33*$L$2</f>
        <v>33.6080320002234</v>
      </c>
      <c r="H33" s="10" t="n">
        <f aca="false">($L$27/SQRT($L$4))-$L$28/SQRT(D33)</f>
        <v>0.292516831755261</v>
      </c>
      <c r="I33" s="10" t="n">
        <f aca="false">H33*D33/$L$2</f>
        <v>4.98172825769252</v>
      </c>
      <c r="J33" s="0"/>
      <c r="Q33" s="3" t="s">
        <v>66</v>
      </c>
      <c r="R33" s="3" t="n">
        <f aca="false">R47/SQRT(R12)</f>
        <v>0.0396990529996141</v>
      </c>
    </row>
    <row r="34" customFormat="false" ht="12.8" hidden="false" customHeight="false" outlineLevel="0" collapsed="false">
      <c r="A34" s="0" t="n">
        <f aca="false">A33+0.025</f>
        <v>0.1</v>
      </c>
      <c r="B34" s="0" t="n">
        <f aca="false">EXP(A34)</f>
        <v>1.10517091807565</v>
      </c>
      <c r="C34" s="2" t="n">
        <f aca="false">B34-1</f>
        <v>0.105170918075648</v>
      </c>
      <c r="D34" s="1" t="n">
        <f aca="false">B34*$O$2</f>
        <v>1746.17005055952</v>
      </c>
      <c r="E34" s="10" t="n">
        <f aca="false">I34*$L$2</f>
        <v>533.23840897699</v>
      </c>
      <c r="F34" s="2" t="n">
        <f aca="false">(($L$27*(D34-$O$2)/SQRT($L$4)) - 2*$L$28*(SQRT(D34)-SQRT($O$2)))/$L$2</f>
        <v>0.464982686486599</v>
      </c>
      <c r="G34" s="10" t="n">
        <f aca="false">F34*$L$2</f>
        <v>46.4982686486599</v>
      </c>
      <c r="H34" s="10" t="n">
        <f aca="false">($L$27/SQRT($L$4))-$L$28/SQRT(D34)</f>
        <v>0.305375990617938</v>
      </c>
      <c r="I34" s="10" t="n">
        <f aca="false">H34*D34/$L$2</f>
        <v>5.3323840897699</v>
      </c>
      <c r="J34" s="0"/>
      <c r="Q34" s="3" t="s">
        <v>67</v>
      </c>
      <c r="R34" s="3" t="n">
        <f aca="false">R47*SQRT(R12)</f>
        <v>41.8162034960835</v>
      </c>
    </row>
    <row r="35" customFormat="false" ht="12.8" hidden="false" customHeight="false" outlineLevel="0" collapsed="false">
      <c r="A35" s="0" t="n">
        <f aca="false">A34+0.025</f>
        <v>0.125</v>
      </c>
      <c r="B35" s="0" t="n">
        <f aca="false">EXP(A35)</f>
        <v>1.13314845306683</v>
      </c>
      <c r="C35" s="2" t="n">
        <f aca="false">B35-1</f>
        <v>0.133148453066826</v>
      </c>
      <c r="D35" s="1" t="n">
        <f aca="false">B35*$O$2</f>
        <v>1790.37455584559</v>
      </c>
      <c r="E35" s="10" t="n">
        <f aca="false">I35*$L$2</f>
        <v>569.474121698616</v>
      </c>
      <c r="F35" s="2" t="n">
        <f aca="false">(($L$27*(D35-$O$2)/SQRT($L$4)) - 2*$L$28*(SQRT(D35)-SQRT($O$2)))/$L$2</f>
        <v>0.602797032888941</v>
      </c>
      <c r="G35" s="10" t="n">
        <f aca="false">F35*$L$2</f>
        <v>60.2797032888941</v>
      </c>
      <c r="H35" s="10" t="n">
        <f aca="false">($L$27/SQRT($L$4))-$L$28/SQRT(D35)</f>
        <v>0.318075410443742</v>
      </c>
      <c r="I35" s="10" t="n">
        <f aca="false">H35*D35/$L$2</f>
        <v>5.69474121698616</v>
      </c>
      <c r="J35" s="0"/>
    </row>
    <row r="36" customFormat="false" ht="12.8" hidden="false" customHeight="false" outlineLevel="0" collapsed="false">
      <c r="A36" s="0" t="n">
        <f aca="false">A35+0.025</f>
        <v>0.15</v>
      </c>
      <c r="B36" s="0" t="n">
        <f aca="false">EXP(A36)</f>
        <v>1.16183424272828</v>
      </c>
      <c r="C36" s="2" t="n">
        <f aca="false">B36-1</f>
        <v>0.161834242728283</v>
      </c>
      <c r="D36" s="1" t="n">
        <f aca="false">B36*$O$2</f>
        <v>1835.69810351069</v>
      </c>
      <c r="E36" s="10" t="n">
        <f aca="false">I36*$L$2</f>
        <v>606.913138562272</v>
      </c>
      <c r="F36" s="2" t="n">
        <f aca="false">(($L$27*(D36-$O$2)/SQRT($L$4)) - 2*$L$28*(SQRT(D36)-SQRT($O$2)))/$L$2</f>
        <v>0.749820020224307</v>
      </c>
      <c r="G36" s="10" t="n">
        <f aca="false">F36*$L$2</f>
        <v>74.9820020224307</v>
      </c>
      <c r="H36" s="10" t="n">
        <f aca="false">($L$27/SQRT($L$4))-$L$28/SQRT(D36)</f>
        <v>0.330617075542857</v>
      </c>
      <c r="I36" s="10" t="n">
        <f aca="false">H36*D36/$L$2</f>
        <v>6.06913138562272</v>
      </c>
      <c r="J36" s="0"/>
      <c r="Q36" s="3" t="s">
        <v>68</v>
      </c>
      <c r="R36" s="3" t="n">
        <f aca="false">R34*R29/((R30-R34)*(1/R6))</f>
        <v>0.0263823285826024</v>
      </c>
    </row>
    <row r="37" customFormat="false" ht="12.8" hidden="false" customHeight="false" outlineLevel="0" collapsed="false">
      <c r="A37" s="0" t="n">
        <f aca="false">A36+0.025</f>
        <v>0.175</v>
      </c>
      <c r="B37" s="0" t="n">
        <f aca="false">EXP(A37)</f>
        <v>1.19124621661236</v>
      </c>
      <c r="C37" s="2" t="n">
        <f aca="false">B37-1</f>
        <v>0.191246216612358</v>
      </c>
      <c r="D37" s="1" t="n">
        <f aca="false">B37*$O$2</f>
        <v>1882.16902224753</v>
      </c>
      <c r="E37" s="10" t="n">
        <f aca="false">I37*$L$2</f>
        <v>645.58951870275</v>
      </c>
      <c r="F37" s="2" t="n">
        <f aca="false">(($L$27*(D37-$O$2)/SQRT($L$4)) - 2*$L$28*(SQRT(D37)-SQRT($O$2)))/$L$2</f>
        <v>0.906356713255951</v>
      </c>
      <c r="G37" s="10" t="n">
        <f aca="false">F37*$L$2</f>
        <v>90.6356713255951</v>
      </c>
      <c r="H37" s="10" t="n">
        <f aca="false">($L$27/SQRT($L$4))-$L$28/SQRT(D37)</f>
        <v>0.343002945575973</v>
      </c>
      <c r="I37" s="10" t="n">
        <f aca="false">H37*D37/$L$2</f>
        <v>6.4558951870275</v>
      </c>
      <c r="J37" s="0"/>
      <c r="Q37" s="3" t="s">
        <v>69</v>
      </c>
      <c r="R37" s="3" t="n">
        <f aca="false">R33*R30/((R29-R33)*(R6))</f>
        <v>62.9249740043924</v>
      </c>
    </row>
    <row r="38" customFormat="false" ht="12.8" hidden="false" customHeight="false" outlineLevel="0" collapsed="false">
      <c r="A38" s="0" t="n">
        <f aca="false">A37+0.025</f>
        <v>0.2</v>
      </c>
      <c r="B38" s="0" t="n">
        <f aca="false">EXP(A38)</f>
        <v>1.22140275816017</v>
      </c>
      <c r="C38" s="2" t="n">
        <f aca="false">B38-1</f>
        <v>0.22140275816017</v>
      </c>
      <c r="D38" s="1" t="n">
        <f aca="false">B38*$O$2</f>
        <v>1929.81635789307</v>
      </c>
      <c r="E38" s="10" t="n">
        <f aca="false">I38*$L$2</f>
        <v>685.538228714976</v>
      </c>
      <c r="F38" s="2" t="n">
        <f aca="false">(($L$27*(D38-$O$2)/SQRT($L$4)) - 2*$L$28*(SQRT(D38)-SQRT($O$2)))/$L$2</f>
        <v>1.07272080447908</v>
      </c>
      <c r="G38" s="10" t="n">
        <f aca="false">F38*$L$2</f>
        <v>107.272080447908</v>
      </c>
      <c r="H38" s="10" t="n">
        <f aca="false">($L$27/SQRT($L$4))-$L$28/SQRT(D38)</f>
        <v>0.35523495586048</v>
      </c>
      <c r="I38" s="10" t="n">
        <f aca="false">H38*D38/$L$2</f>
        <v>6.85538228714976</v>
      </c>
      <c r="J38" s="0"/>
    </row>
    <row r="39" customFormat="false" ht="12.8" hidden="false" customHeight="false" outlineLevel="0" collapsed="false">
      <c r="A39" s="0" t="n">
        <f aca="false">A38+0.025</f>
        <v>0.225</v>
      </c>
      <c r="B39" s="0" t="n">
        <f aca="false">EXP(A39)</f>
        <v>1.25232271619186</v>
      </c>
      <c r="C39" s="2" t="n">
        <f aca="false">B39-1</f>
        <v>0.252322716191864</v>
      </c>
      <c r="D39" s="1" t="n">
        <f aca="false">B39*$O$2</f>
        <v>1978.66989158315</v>
      </c>
      <c r="E39" s="10" t="n">
        <f aca="false">I39*$L$2</f>
        <v>726.795166195642</v>
      </c>
      <c r="F39" s="2" t="n">
        <f aca="false">(($L$27*(D39-$O$2)/SQRT($L$4)) - 2*$L$28*(SQRT(D39)-SQRT($O$2)))/$L$2</f>
        <v>1.24923484391616</v>
      </c>
      <c r="G39" s="10" t="n">
        <f aca="false">F39*$L$2</f>
        <v>124.923484391616</v>
      </c>
      <c r="H39" s="10" t="n">
        <f aca="false">($L$27/SQRT($L$4))-$L$28/SQRT(D39)</f>
        <v>0.367315017672872</v>
      </c>
      <c r="I39" s="10" t="n">
        <f aca="false">H39*D39/$L$2</f>
        <v>7.26795166195642</v>
      </c>
      <c r="J39" s="0"/>
      <c r="Q39" s="3" t="s">
        <v>70</v>
      </c>
      <c r="R39" s="3" t="n">
        <f aca="false">R33+R36</f>
        <v>0.0660813815822165</v>
      </c>
    </row>
    <row r="40" customFormat="false" ht="12.8" hidden="false" customHeight="false" outlineLevel="0" collapsed="false">
      <c r="A40" s="0" t="n">
        <f aca="false">A39+0.025</f>
        <v>0.25</v>
      </c>
      <c r="B40" s="0" t="n">
        <f aca="false">EXP(A40)</f>
        <v>1.28402541668774</v>
      </c>
      <c r="C40" s="2" t="n">
        <f aca="false">B40-1</f>
        <v>0.284025416687741</v>
      </c>
      <c r="D40" s="1" t="n">
        <f aca="false">B40*$O$2</f>
        <v>2028.76015836663</v>
      </c>
      <c r="E40" s="10" t="n">
        <f aca="false">I40*$L$2</f>
        <v>769.397183887947</v>
      </c>
      <c r="F40" s="2" t="n">
        <f aca="false">(($L$27*(D40-$O$2)/SQRT($L$4)) - 2*$L$28*(SQRT(D40)-SQRT($O$2)))/$L$2</f>
        <v>1.43623047487277</v>
      </c>
      <c r="G40" s="10" t="n">
        <f aca="false">F40*$L$2</f>
        <v>143.623047487277</v>
      </c>
      <c r="H40" s="10" t="n">
        <f aca="false">($L$27/SQRT($L$4))-$L$28/SQRT(D40)</f>
        <v>0.379245018547384</v>
      </c>
      <c r="I40" s="10" t="n">
        <f aca="false">H40*D40/$L$2</f>
        <v>7.69397183887947</v>
      </c>
      <c r="J40" s="0"/>
      <c r="Q40" s="3" t="s">
        <v>71</v>
      </c>
      <c r="R40" s="3" t="n">
        <f aca="false">R34+R37</f>
        <v>104.741177500476</v>
      </c>
    </row>
    <row r="41" customFormat="false" ht="12.8" hidden="false" customHeight="false" outlineLevel="0" collapsed="false">
      <c r="A41" s="0" t="n">
        <f aca="false">A40+0.025</f>
        <v>0.275</v>
      </c>
      <c r="B41" s="0" t="n">
        <f aca="false">EXP(A41)</f>
        <v>1.31653067486762</v>
      </c>
      <c r="C41" s="2" t="n">
        <f aca="false">B41-1</f>
        <v>0.316530674867622</v>
      </c>
      <c r="D41" s="1" t="n">
        <f aca="false">B41*$O$2</f>
        <v>2080.11846629084</v>
      </c>
      <c r="E41" s="10" t="n">
        <f aca="false">I41*$L$2</f>
        <v>813.382114444814</v>
      </c>
      <c r="F41" s="2" t="n">
        <f aca="false">(($L$27*(D41-$O$2)/SQRT($L$4)) - 2*$L$28*(SQRT(D41)-SQRT($O$2)))/$L$2</f>
        <v>1.63404867580654</v>
      </c>
      <c r="G41" s="10" t="n">
        <f aca="false">F41*$L$2</f>
        <v>163.404867580654</v>
      </c>
      <c r="H41" s="10" t="n">
        <f aca="false">($L$27/SQRT($L$4))-$L$28/SQRT(D41)</f>
        <v>0.391026822570925</v>
      </c>
      <c r="I41" s="10" t="n">
        <f aca="false">H41*D41/$L$2</f>
        <v>8.13382114444814</v>
      </c>
      <c r="J41" s="0"/>
    </row>
    <row r="42" customFormat="false" ht="12.8" hidden="false" customHeight="false" outlineLevel="0" collapsed="false">
      <c r="A42" s="0" t="n">
        <f aca="false">A41+0.025</f>
        <v>0.3</v>
      </c>
      <c r="B42" s="0" t="n">
        <f aca="false">EXP(A42)</f>
        <v>1.349858807576</v>
      </c>
      <c r="C42" s="2" t="n">
        <f aca="false">B42-1</f>
        <v>0.349858807576003</v>
      </c>
      <c r="D42" s="1" t="n">
        <f aca="false">B42*$O$2</f>
        <v>2132.77691597009</v>
      </c>
      <c r="E42" s="10" t="n">
        <f aca="false">I42*$L$2</f>
        <v>858.788795826339</v>
      </c>
      <c r="F42" s="2" t="n">
        <f aca="false">(($L$27*(D42-$O$2)/SQRT($L$4)) - 2*$L$28*(SQRT(D42)-SQRT($O$2)))/$L$2</f>
        <v>1.84304000846591</v>
      </c>
      <c r="G42" s="10" t="n">
        <f aca="false">F42*$L$2</f>
        <v>184.304000846591</v>
      </c>
      <c r="H42" s="10" t="n">
        <f aca="false">($L$27/SQRT($L$4))-$L$28/SQRT(D42)</f>
        <v>0.402662270674344</v>
      </c>
      <c r="I42" s="10" t="n">
        <f aca="false">H42*D42/$L$2</f>
        <v>8.58788795826339</v>
      </c>
      <c r="J42" s="0"/>
    </row>
    <row r="43" customFormat="false" ht="12.8" hidden="false" customHeight="false" outlineLevel="0" collapsed="false">
      <c r="A43" s="0" t="n">
        <f aca="false">A42+0.025</f>
        <v>0.325</v>
      </c>
      <c r="B43" s="0" t="n">
        <f aca="false">EXP(A43)</f>
        <v>1.38403064598075</v>
      </c>
      <c r="C43" s="2" t="n">
        <f aca="false">B43-1</f>
        <v>0.384030645980751</v>
      </c>
      <c r="D43" s="1" t="n">
        <f aca="false">B43*$O$2</f>
        <v>2186.76842064959</v>
      </c>
      <c r="E43" s="10" t="n">
        <f aca="false">I43*$L$2</f>
        <v>905.657097347603</v>
      </c>
      <c r="F43" s="2" t="n">
        <f aca="false">(($L$27*(D43-$O$2)/SQRT($L$4)) - 2*$L$28*(SQRT(D43)-SQRT($O$2)))/$L$2</f>
        <v>2.06356487245917</v>
      </c>
      <c r="G43" s="10" t="n">
        <f aca="false">F43*$L$2</f>
        <v>206.356487245917</v>
      </c>
      <c r="H43" s="10" t="n">
        <f aca="false">($L$27/SQRT($L$4))-$L$28/SQRT(D43)</f>
        <v>0.414153180920078</v>
      </c>
      <c r="I43" s="10" t="n">
        <f aca="false">H43*D43/$L$2</f>
        <v>9.05657097347603</v>
      </c>
      <c r="J43" s="0"/>
    </row>
    <row r="44" customFormat="false" ht="12.8" hidden="false" customHeight="false" outlineLevel="0" collapsed="false">
      <c r="A44" s="0" t="n">
        <f aca="false">A43+0.025</f>
        <v>0.35</v>
      </c>
      <c r="B44" s="0" t="n">
        <f aca="false">EXP(A44)</f>
        <v>1.41906754859326</v>
      </c>
      <c r="C44" s="2" t="n">
        <f aca="false">B44-1</f>
        <v>0.419067548593257</v>
      </c>
      <c r="D44" s="1" t="n">
        <f aca="false">B44*$O$2</f>
        <v>2242.12672677735</v>
      </c>
      <c r="E44" s="10" t="n">
        <f aca="false">I44*$L$2</f>
        <v>954.027946393425</v>
      </c>
      <c r="F44" s="2" t="n">
        <f aca="false">(($L$27*(D44-$O$2)/SQRT($L$4)) - 2*$L$28*(SQRT(D44)-SQRT($O$2)))/$L$2</f>
        <v>2.29599376641847</v>
      </c>
      <c r="G44" s="10" t="n">
        <f aca="false">F44*$L$2</f>
        <v>229.599376641847</v>
      </c>
      <c r="H44" s="10" t="n">
        <f aca="false">($L$27/SQRT($L$4))-$L$28/SQRT(D44)</f>
        <v>0.425501348786234</v>
      </c>
      <c r="I44" s="10" t="n">
        <f aca="false">H44*D44/$L$2</f>
        <v>9.54027946393425</v>
      </c>
      <c r="J44" s="0"/>
      <c r="Q44" s="3" t="s">
        <v>28</v>
      </c>
      <c r="R44" s="3" t="n">
        <f aca="false">L2/(SQRT(L4)*(1/L3)*(1+O2/L4)-2*SQRT(O2))</f>
        <v>42.6770675980992</v>
      </c>
    </row>
    <row r="45" customFormat="false" ht="12.8" hidden="false" customHeight="false" outlineLevel="0" collapsed="false">
      <c r="A45" s="0" t="n">
        <f aca="false">A44+0.025</f>
        <v>0.375</v>
      </c>
      <c r="B45" s="0" t="n">
        <f aca="false">EXP(A45)</f>
        <v>1.4549914146182</v>
      </c>
      <c r="C45" s="2" t="n">
        <f aca="false">B45-1</f>
        <v>0.454991414618201</v>
      </c>
      <c r="D45" s="1" t="n">
        <f aca="false">B45*$O$2</f>
        <v>2298.88643509676</v>
      </c>
      <c r="E45" s="10" t="n">
        <f aca="false">I45*$L$2</f>
        <v>1003.94335581701</v>
      </c>
      <c r="F45" s="2" t="n">
        <f aca="false">(($L$27*(D45-$O$2)/SQRT($L$4)) - 2*$L$28*(SQRT(D45)-SQRT($O$2)))/$L$2</f>
        <v>2.54070755592769</v>
      </c>
      <c r="G45" s="10" t="n">
        <f aca="false">F45*$L$2</f>
        <v>254.070755592769</v>
      </c>
      <c r="H45" s="10" t="n">
        <f aca="false">($L$27/SQRT($L$4))-$L$28/SQRT(D45)</f>
        <v>0.436708547447127</v>
      </c>
      <c r="I45" s="10" t="n">
        <f aca="false">H45*D45/$L$2</f>
        <v>10.0394335581701</v>
      </c>
      <c r="J45" s="0"/>
      <c r="Q45" s="3" t="s">
        <v>72</v>
      </c>
      <c r="R45" s="3" t="n">
        <f aca="false">(R44/L3)*SQRT(L4)*(1+O2/L4)-2*R44*SQRT(O2)</f>
        <v>100</v>
      </c>
    </row>
    <row r="46" customFormat="false" ht="12.8" hidden="false" customHeight="false" outlineLevel="0" collapsed="false">
      <c r="A46" s="0" t="n">
        <f aca="false">A45+0.025</f>
        <v>0.4</v>
      </c>
      <c r="B46" s="0" t="n">
        <f aca="false">EXP(A46)</f>
        <v>1.49182469764127</v>
      </c>
      <c r="C46" s="2" t="n">
        <f aca="false">B46-1</f>
        <v>0.49182469764127</v>
      </c>
      <c r="D46" s="1" t="n">
        <f aca="false">B46*$O$2</f>
        <v>2357.08302227321</v>
      </c>
      <c r="E46" s="10" t="n">
        <f aca="false">I46*$L$2</f>
        <v>1055.44645203992</v>
      </c>
      <c r="F46" s="2" t="n">
        <f aca="false">(($L$27*(D46-$O$2)/SQRT($L$4)) - 2*$L$28*(SQRT(D46)-SQRT($O$2)))/$L$2</f>
        <v>2.79809774838719</v>
      </c>
      <c r="G46" s="10" t="n">
        <f aca="false">F46*$L$2</f>
        <v>279.809774838719</v>
      </c>
      <c r="H46" s="10" t="n">
        <f aca="false">($L$27/SQRT($L$4))-$L$28/SQRT(D46)</f>
        <v>0.44777652805035</v>
      </c>
      <c r="I46" s="10" t="n">
        <f aca="false">H46*D46/$L$2</f>
        <v>10.5544645203992</v>
      </c>
      <c r="J46" s="0"/>
      <c r="Q46" s="3" t="s">
        <v>61</v>
      </c>
      <c r="R46" s="3" t="n">
        <f aca="false">R44*(1+O12)/L3</f>
        <v>43.0903214299953</v>
      </c>
    </row>
    <row r="47" customFormat="false" ht="12.8" hidden="false" customHeight="false" outlineLevel="0" collapsed="false">
      <c r="A47" s="0" t="n">
        <f aca="false">A46+0.025</f>
        <v>0.425</v>
      </c>
      <c r="B47" s="0" t="n">
        <f aca="false">EXP(A47)</f>
        <v>1.52959041966338</v>
      </c>
      <c r="C47" s="2" t="n">
        <f aca="false">B47-1</f>
        <v>0.529590419663379</v>
      </c>
      <c r="D47" s="1" t="n">
        <f aca="false">B47*$O$2</f>
        <v>2416.75286306814</v>
      </c>
      <c r="E47" s="10" t="n">
        <f aca="false">I47*$L$2</f>
        <v>1108.58150387123</v>
      </c>
      <c r="F47" s="2" t="n">
        <f aca="false">(($L$27*(D47-$O$2)/SQRT($L$4)) - 2*$L$28*(SQRT(D47)-SQRT($O$2)))/$L$2</f>
        <v>3.0685667749932</v>
      </c>
      <c r="G47" s="10" t="n">
        <f aca="false">F47*$L$2</f>
        <v>306.85667749932</v>
      </c>
      <c r="H47" s="10" t="n">
        <f aca="false">($L$27/SQRT($L$4))-$L$28/SQRT(D47)</f>
        <v>0.458707019990389</v>
      </c>
      <c r="I47" s="10" t="n">
        <f aca="false">H47*D47/$L$2</f>
        <v>11.0858150387123</v>
      </c>
      <c r="J47" s="0"/>
      <c r="Q47" s="3" t="s">
        <v>73</v>
      </c>
      <c r="R47" s="3" t="n">
        <f aca="false">R46-R27</f>
        <v>1.28843458461564</v>
      </c>
    </row>
    <row r="48" customFormat="false" ht="12.8" hidden="false" customHeight="false" outlineLevel="0" collapsed="false">
      <c r="A48" s="0" t="n">
        <f aca="false">A47+0.025</f>
        <v>0.45</v>
      </c>
      <c r="B48" s="0" t="n">
        <f aca="false">EXP(A48)</f>
        <v>1.56831218549017</v>
      </c>
      <c r="C48" s="2" t="n">
        <f aca="false">B48-1</f>
        <v>0.568312185490169</v>
      </c>
      <c r="D48" s="1" t="n">
        <f aca="false">B48*$O$2</f>
        <v>2477.93325307447</v>
      </c>
      <c r="E48" s="10" t="n">
        <f aca="false">I48*$L$2</f>
        <v>1163.3939520641</v>
      </c>
      <c r="F48" s="2" t="n">
        <f aca="false">(($L$27*(D48-$O$2)/SQRT($L$4)) - 2*$L$28*(SQRT(D48)-SQRT($O$2)))/$L$2</f>
        <v>3.3525282800136</v>
      </c>
      <c r="G48" s="10" t="n">
        <f aca="false">F48*$L$2</f>
        <v>335.25282800136</v>
      </c>
      <c r="H48" s="10" t="n">
        <f aca="false">($L$27/SQRT($L$4))-$L$28/SQRT(D48)</f>
        <v>0.46950173117885</v>
      </c>
      <c r="I48" s="10" t="n">
        <f aca="false">H48*D48/$L$2</f>
        <v>11.633939520641</v>
      </c>
      <c r="J48" s="0"/>
    </row>
    <row r="49" customFormat="false" ht="12.8" hidden="false" customHeight="false" outlineLevel="0" collapsed="false">
      <c r="A49" s="0" t="n">
        <f aca="false">A48+0.025</f>
        <v>0.475</v>
      </c>
      <c r="B49" s="0" t="n">
        <f aca="false">EXP(A49)</f>
        <v>1.60801419748578</v>
      </c>
      <c r="C49" s="2" t="n">
        <f aca="false">B49-1</f>
        <v>0.608014197485783</v>
      </c>
      <c r="D49" s="1" t="n">
        <f aca="false">B49*$O$2</f>
        <v>2540.66243202754</v>
      </c>
      <c r="E49" s="10" t="n">
        <f aca="false">I49*$L$2</f>
        <v>1219.93043962868</v>
      </c>
      <c r="F49" s="2" t="n">
        <f aca="false">(($L$27*(D49-$O$2)/SQRT($L$4)) - 2*$L$28*(SQRT(D49)-SQRT($O$2)))/$L$2</f>
        <v>3.65040741754719</v>
      </c>
      <c r="G49" s="10" t="n">
        <f aca="false">F49*$L$2</f>
        <v>365.040741754719</v>
      </c>
      <c r="H49" s="10" t="n">
        <f aca="false">($L$27/SQRT($L$4))-$L$28/SQRT(D49)</f>
        <v>0.480162348311317</v>
      </c>
      <c r="I49" s="10" t="n">
        <f aca="false">H49*D49/$L$2</f>
        <v>12.1993043962868</v>
      </c>
      <c r="J49" s="0"/>
    </row>
    <row r="50" customFormat="false" ht="12.8" hidden="false" customHeight="false" outlineLevel="0" collapsed="false">
      <c r="A50" s="0" t="n">
        <f aca="false">A49+0.025</f>
        <v>0.5</v>
      </c>
      <c r="B50" s="0" t="n">
        <f aca="false">EXP(A50)</f>
        <v>1.64872127070013</v>
      </c>
      <c r="C50" s="2" t="n">
        <f aca="false">B50-1</f>
        <v>0.648721270700128</v>
      </c>
      <c r="D50" s="1" t="n">
        <f aca="false">B50*$O$2</f>
        <v>2604.9796077062</v>
      </c>
      <c r="E50" s="10" t="n">
        <f aca="false">I50*$L$2</f>
        <v>1278.23884292041</v>
      </c>
      <c r="F50" s="2" t="n">
        <f aca="false">(($L$27*(D50-$O$2)/SQRT($L$4)) - 2*$L$28*(SQRT(D50)-SQRT($O$2)))/$L$2</f>
        <v>3.96264115595761</v>
      </c>
      <c r="G50" s="10" t="n">
        <f aca="false">F50*$L$2</f>
        <v>396.264115595761</v>
      </c>
      <c r="H50" s="10" t="n">
        <f aca="false">($L$27/SQRT($L$4))-$L$28/SQRT(D50)</f>
        <v>0.490690537130905</v>
      </c>
      <c r="I50" s="10" t="n">
        <f aca="false">H50*D50/$L$2</f>
        <v>12.7823884292041</v>
      </c>
      <c r="J50" s="0"/>
    </row>
    <row r="51" customFormat="false" ht="12.8" hidden="false" customHeight="false" outlineLevel="0" collapsed="false">
      <c r="A51" s="0" t="n">
        <f aca="false">A50+0.025</f>
        <v>0.525</v>
      </c>
      <c r="B51" s="0" t="n">
        <f aca="false">EXP(A51)</f>
        <v>1.69045884837909</v>
      </c>
      <c r="C51" s="2" t="n">
        <f aca="false">B51-1</f>
        <v>0.690458848379092</v>
      </c>
      <c r="D51" s="1" t="n">
        <f aca="false">B51*$O$2</f>
        <v>2670.92498043896</v>
      </c>
      <c r="E51" s="10" t="n">
        <f aca="false">I51*$L$2</f>
        <v>1338.36830352359</v>
      </c>
      <c r="F51" s="2" t="n">
        <f aca="false">(($L$27*(D51-$O$2)/SQRT($L$4)) - 2*$L$28*(SQRT(D51)-SQRT($O$2)))/$L$2</f>
        <v>4.28967859017828</v>
      </c>
      <c r="G51" s="10" t="n">
        <f aca="false">F51*$L$2</f>
        <v>428.967859017828</v>
      </c>
      <c r="H51" s="10" t="n">
        <f aca="false">($L$27/SQRT($L$4))-$L$28/SQRT(D51)</f>
        <v>0.501087942688539</v>
      </c>
      <c r="I51" s="10" t="n">
        <f aca="false">H51*D51/$L$2</f>
        <v>13.3836830352359</v>
      </c>
      <c r="J51" s="0"/>
    </row>
    <row r="52" customFormat="false" ht="12.8" hidden="false" customHeight="false" outlineLevel="0" collapsed="false">
      <c r="A52" s="0" t="n">
        <f aca="false">A51+0.025</f>
        <v>0.55</v>
      </c>
      <c r="B52" s="0" t="n">
        <f aca="false">EXP(A52)</f>
        <v>1.7332530178674</v>
      </c>
      <c r="C52" s="2" t="n">
        <f aca="false">B52-1</f>
        <v>0.733253017867396</v>
      </c>
      <c r="D52" s="1" t="n">
        <f aca="false">B52*$O$2</f>
        <v>2738.53976823048</v>
      </c>
      <c r="E52" s="10" t="n">
        <f aca="false">I52*$L$2</f>
        <v>1400.36926095038</v>
      </c>
      <c r="F52" s="2" t="n">
        <f aca="false">(($L$27*(D52-$O$2)/SQRT($L$4)) - 2*$L$28*(SQRT(D52)-SQRT($O$2)))/$L$2</f>
        <v>4.63198126208981</v>
      </c>
      <c r="G52" s="10" t="n">
        <f aca="false">F52*$L$2</f>
        <v>463.198126208981</v>
      </c>
      <c r="H52" s="10" t="n">
        <f aca="false">($L$27/SQRT($L$4))-$L$28/SQRT(D52)</f>
        <v>0.511356189599989</v>
      </c>
      <c r="I52" s="10" t="n">
        <f aca="false">H52*D52/$L$2</f>
        <v>14.0036926095038</v>
      </c>
      <c r="J52" s="0"/>
    </row>
    <row r="53" customFormat="false" ht="12.8" hidden="false" customHeight="false" outlineLevel="0" collapsed="false">
      <c r="A53" s="0" t="n">
        <f aca="false">A52+0.025</f>
        <v>0.575</v>
      </c>
      <c r="B53" s="0" t="n">
        <f aca="false">EXP(A53)</f>
        <v>1.77713052691404</v>
      </c>
      <c r="C53" s="2" t="n">
        <f aca="false">B53-1</f>
        <v>0.777130526914039</v>
      </c>
      <c r="D53" s="1" t="n">
        <f aca="false">B53*$O$2</f>
        <v>2807.86623252418</v>
      </c>
      <c r="E53" s="10" t="n">
        <f aca="false">I53*$L$2</f>
        <v>1464.29348617604</v>
      </c>
      <c r="F53" s="2" t="n">
        <f aca="false">(($L$27*(D53-$O$2)/SQRT($L$4)) - 2*$L$28*(SQRT(D53)-SQRT($O$2)))/$L$2</f>
        <v>4.99002348917629</v>
      </c>
      <c r="G53" s="10" t="n">
        <f aca="false">F53*$L$2</f>
        <v>499.002348917629</v>
      </c>
      <c r="H53" s="10" t="n">
        <f aca="false">($L$27/SQRT($L$4))-$L$28/SQRT(D53)</f>
        <v>0.521496882299728</v>
      </c>
      <c r="I53" s="10" t="n">
        <f aca="false">H53*D53/$L$2</f>
        <v>14.6429348617604</v>
      </c>
      <c r="J53" s="0"/>
    </row>
    <row r="54" customFormat="false" ht="12.8" hidden="false" customHeight="false" outlineLevel="0" collapsed="false">
      <c r="A54" s="0" t="n">
        <f aca="false">A53+0.025</f>
        <v>0.6</v>
      </c>
      <c r="B54" s="0" t="n">
        <f aca="false">EXP(A54)</f>
        <v>1.82211880039051</v>
      </c>
      <c r="C54" s="2" t="n">
        <f aca="false">B54-1</f>
        <v>0.822118800390509</v>
      </c>
      <c r="D54" s="1" t="n">
        <f aca="false">B54*$O$2</f>
        <v>2878.947704617</v>
      </c>
      <c r="E54" s="10" t="n">
        <f aca="false">I54*$L$2</f>
        <v>1530.19411603161</v>
      </c>
      <c r="F54" s="2" t="n">
        <f aca="false">(($L$27*(D54-$O$2)/SQRT($L$4)) - 2*$L$28*(SQRT(D54)-SQRT($O$2)))/$L$2</f>
        <v>5.36429270167194</v>
      </c>
      <c r="G54" s="10" t="n">
        <f aca="false">F54*$L$2</f>
        <v>536.429270167194</v>
      </c>
      <c r="H54" s="10" t="n">
        <f aca="false">($L$27/SQRT($L$4))-$L$28/SQRT(D54)</f>
        <v>0.53151160529162</v>
      </c>
      <c r="I54" s="10" t="n">
        <f aca="false">H54*D54/$L$2</f>
        <v>15.3019411603161</v>
      </c>
      <c r="J54" s="0"/>
    </row>
    <row r="55" customFormat="false" ht="12.8" hidden="false" customHeight="false" outlineLevel="0" collapsed="false">
      <c r="A55" s="0" t="n">
        <f aca="false">A54+0.025</f>
        <v>0.625</v>
      </c>
      <c r="B55" s="0" t="n">
        <f aca="false">EXP(A55)</f>
        <v>1.86824595743222</v>
      </c>
      <c r="C55" s="2" t="n">
        <f aca="false">B55-1</f>
        <v>0.868245957432223</v>
      </c>
      <c r="D55" s="1" t="n">
        <f aca="false">B55*$O$2</f>
        <v>2951.82861274291</v>
      </c>
      <c r="E55" s="10" t="n">
        <f aca="false">I55*$L$2</f>
        <v>1598.12568847586</v>
      </c>
      <c r="F55" s="2" t="n">
        <f aca="false">(($L$27*(D55-$O$2)/SQRT($L$4)) - 2*$L$28*(SQRT(D55)-SQRT($O$2)))/$L$2</f>
        <v>5.75528978841561</v>
      </c>
      <c r="G55" s="10" t="n">
        <f aca="false">F55*$L$2</f>
        <v>575.528978841561</v>
      </c>
      <c r="H55" s="10" t="n">
        <f aca="false">($L$27/SQRT($L$4))-$L$28/SQRT(D55)</f>
        <v>0.541401923396509</v>
      </c>
      <c r="I55" s="10" t="n">
        <f aca="false">H55*D55/$L$2</f>
        <v>15.9812568847586</v>
      </c>
      <c r="J55" s="0"/>
    </row>
    <row r="56" customFormat="false" ht="12.8" hidden="false" customHeight="false" outlineLevel="0" collapsed="false">
      <c r="A56" s="0" t="n">
        <f aca="false">A55+0.025</f>
        <v>0.65</v>
      </c>
      <c r="B56" s="0" t="n">
        <f aca="false">EXP(A56)</f>
        <v>1.9155408290139</v>
      </c>
      <c r="C56" s="2" t="n">
        <f aca="false">B56-1</f>
        <v>0.915540829013896</v>
      </c>
      <c r="D56" s="1" t="n">
        <f aca="false">B56*$O$2</f>
        <v>3026.55450984196</v>
      </c>
      <c r="E56" s="10" t="n">
        <f aca="false">I56*$L$2</f>
        <v>1668.14417876897</v>
      </c>
      <c r="F56" s="2" t="n">
        <f aca="false">(($L$27*(D56-$O$2)/SQRT($L$4)) - 2*$L$28*(SQRT(D56)-SQRT($O$2)))/$L$2</f>
        <v>6.16352945163537</v>
      </c>
      <c r="G56" s="10" t="n">
        <f aca="false">F56*$L$2</f>
        <v>616.352945163537</v>
      </c>
      <c r="H56" s="10" t="n">
        <f aca="false">($L$27/SQRT($L$4))-$L$28/SQRT(D56)</f>
        <v>0.551169381996719</v>
      </c>
      <c r="I56" s="10" t="n">
        <f aca="false">H56*D56/$L$2</f>
        <v>16.6814417876897</v>
      </c>
      <c r="J56" s="0"/>
    </row>
    <row r="57" customFormat="false" ht="12.8" hidden="false" customHeight="false" outlineLevel="0" collapsed="false">
      <c r="A57" s="0" t="n">
        <f aca="false">A56+0.025</f>
        <v>0.675</v>
      </c>
      <c r="B57" s="0" t="n">
        <f aca="false">EXP(A57)</f>
        <v>1.96403297596985</v>
      </c>
      <c r="C57" s="2" t="n">
        <f aca="false">B57-1</f>
        <v>0.964032975969848</v>
      </c>
      <c r="D57" s="1" t="n">
        <f aca="false">B57*$O$2</f>
        <v>3103.17210203236</v>
      </c>
      <c r="E57" s="10" t="n">
        <f aca="false">I57*$L$2</f>
        <v>1740.30703657076</v>
      </c>
      <c r="F57" s="2" t="n">
        <f aca="false">(($L$27*(D57-$O$2)/SQRT($L$4)) - 2*$L$28*(SQRT(D57)-SQRT($O$2)))/$L$2</f>
        <v>6.58954057089158</v>
      </c>
      <c r="G57" s="10" t="n">
        <f aca="false">F57*$L$2</f>
        <v>658.954057089158</v>
      </c>
      <c r="H57" s="10" t="n">
        <f aca="false">($L$27/SQRT($L$4))-$L$28/SQRT(D57)</f>
        <v>0.56081550727753</v>
      </c>
      <c r="I57" s="10" t="n">
        <f aca="false">H57*D57/$L$2</f>
        <v>17.4030703657076</v>
      </c>
      <c r="J57" s="0"/>
    </row>
    <row r="58" customFormat="false" ht="12.8" hidden="false" customHeight="false" outlineLevel="0" collapsed="false">
      <c r="A58" s="0" t="n">
        <f aca="false">A57+0.025</f>
        <v>0.7</v>
      </c>
      <c r="B58" s="0" t="n">
        <f aca="false">EXP(A58)</f>
        <v>2.01375270747048</v>
      </c>
      <c r="C58" s="2" t="n">
        <f aca="false">B58-1</f>
        <v>1.01375270747048</v>
      </c>
      <c r="D58" s="1" t="n">
        <f aca="false">B58*$O$2</f>
        <v>3181.72927780335</v>
      </c>
      <c r="E58" s="10" t="n">
        <f aca="false">I58*$L$2</f>
        <v>1814.67322398699</v>
      </c>
      <c r="F58" s="2" t="n">
        <f aca="false">(($L$27*(D58-$O$2)/SQRT($L$4)) - 2*$L$28*(SQRT(D58)-SQRT($O$2)))/$L$2</f>
        <v>7.03386657641266</v>
      </c>
      <c r="G58" s="10" t="n">
        <f aca="false">F58*$L$2</f>
        <v>703.386657641266</v>
      </c>
      <c r="H58" s="10" t="n">
        <f aca="false">($L$27/SQRT($L$4))-$L$28/SQRT(D58)</f>
        <v>0.570341806465642</v>
      </c>
      <c r="I58" s="10" t="n">
        <f aca="false">H58*D58/$L$2</f>
        <v>18.1467322398699</v>
      </c>
      <c r="J58" s="0"/>
    </row>
  </sheetData>
  <mergeCells count="5">
    <mergeCell ref="K1:L1"/>
    <mergeCell ref="N1:O1"/>
    <mergeCell ref="N9:O9"/>
    <mergeCell ref="K15:L15"/>
    <mergeCell ref="K20:L20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161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2023-09-25T15:21:01Z</dcterms:created>
  <dc:creator/>
  <dc:description/>
  <dc:language>en-US</dc:language>
  <cp:lastModifiedBy/>
  <dcterms:modified xsi:type="dcterms:W3CDTF">2023-09-28T20:08:14Z</dcterms:modified>
  <cp:revision>28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